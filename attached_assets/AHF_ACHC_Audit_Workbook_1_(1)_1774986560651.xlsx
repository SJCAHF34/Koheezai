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seth.collins\Downloads\"/>
    </mc:Choice>
  </mc:AlternateContent>
  <xr:revisionPtr revIDLastSave="0" documentId="8_{D627C905-7432-4D65-B314-1157B6117CB5}" xr6:coauthVersionLast="47" xr6:coauthVersionMax="47" xr10:uidLastSave="{00000000-0000-0000-0000-000000000000}"/>
  <bookViews>
    <workbookView xWindow="23880" yWindow="-75" windowWidth="24240" windowHeight="13020" firstSheet="4" activeTab="4" xr2:uid="{00000000-000D-0000-FFFF-FFFF00000000}"/>
  </bookViews>
  <sheets>
    <sheet name="📊 Dashboard" sheetId="1" r:id="rId1"/>
    <sheet name="📋 Sec1 - Org &amp; Admin" sheetId="2" r:id="rId2"/>
    <sheet name="📋 Sec2 - Program Ops" sheetId="3" r:id="rId3"/>
    <sheet name="📋 Sec3 - Fiscal" sheetId="4" r:id="rId4"/>
    <sheet name="📋 Sec4 - HR" sheetId="5" r:id="rId5"/>
    <sheet name="🎤 Staff Interview Prep" sheetId="6" r:id="rId6"/>
    <sheet name="📅 Day-Of Visi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G9" i="1" s="1"/>
  <c r="E2" i="5"/>
  <c r="F9" i="1" s="1"/>
  <c r="D2" i="5"/>
  <c r="E9" i="1" s="1"/>
  <c r="C2" i="5"/>
  <c r="D9" i="1" s="1"/>
  <c r="F2" i="4"/>
  <c r="G8" i="1" s="1"/>
  <c r="E2" i="4"/>
  <c r="F8" i="1" s="1"/>
  <c r="D2" i="4"/>
  <c r="E8" i="1" s="1"/>
  <c r="C2" i="4"/>
  <c r="D8" i="1" s="1"/>
  <c r="H8" i="1" s="1"/>
  <c r="F2" i="3"/>
  <c r="G7" i="1" s="1"/>
  <c r="E2" i="3"/>
  <c r="F7" i="1" s="1"/>
  <c r="D2" i="3"/>
  <c r="E7" i="1" s="1"/>
  <c r="C2" i="3"/>
  <c r="D7" i="1" s="1"/>
  <c r="H7" i="1" s="1"/>
  <c r="F2" i="2"/>
  <c r="G6" i="1" s="1"/>
  <c r="G10" i="1" s="1"/>
  <c r="E2" i="2"/>
  <c r="F6" i="1" s="1"/>
  <c r="F10" i="1" s="1"/>
  <c r="D2" i="2"/>
  <c r="E6" i="1" s="1"/>
  <c r="E10" i="1" s="1"/>
  <c r="C2" i="2"/>
  <c r="D6" i="1" s="1"/>
  <c r="C9" i="1"/>
  <c r="C8" i="1"/>
  <c r="C7" i="1"/>
  <c r="C6" i="1"/>
  <c r="C10" i="1" s="1"/>
  <c r="H6" i="1" l="1"/>
  <c r="D10" i="1"/>
  <c r="H10" i="1" s="1"/>
  <c r="H9" i="1"/>
</calcChain>
</file>

<file path=xl/sharedStrings.xml><?xml version="1.0" encoding="utf-8"?>
<sst xmlns="http://schemas.openxmlformats.org/spreadsheetml/2006/main" count="475" uniqueCount="348">
  <si>
    <t>AHF PHARMACY — ACHC RE-ACCREDITATION AUDIT WORKBOOK</t>
  </si>
  <si>
    <t>Onsite Visit Readiness Tracker  |  Jan 19 – Apr 17, 2026</t>
  </si>
  <si>
    <t>SECTION READINESS SUMMARY</t>
  </si>
  <si>
    <t>Section</t>
  </si>
  <si>
    <t>Standard Area</t>
  </si>
  <si>
    <t>Total Items</t>
  </si>
  <si>
    <t>Complete</t>
  </si>
  <si>
    <t>In Progress</t>
  </si>
  <si>
    <t>Gaps</t>
  </si>
  <si>
    <t>N/A</t>
  </si>
  <si>
    <t>% Ready</t>
  </si>
  <si>
    <t>Sec 1</t>
  </si>
  <si>
    <t>Organization &amp; Administration</t>
  </si>
  <si>
    <t>Sec 2</t>
  </si>
  <si>
    <t>Program / Service Operations</t>
  </si>
  <si>
    <t>Sec 3</t>
  </si>
  <si>
    <t>Fiscal Management</t>
  </si>
  <si>
    <t>Sec 4</t>
  </si>
  <si>
    <t>Human Resources Management</t>
  </si>
  <si>
    <t>TOTALS</t>
  </si>
  <si>
    <t>KEY VISIT INFORMATION</t>
  </si>
  <si>
    <t>Accrediting Body</t>
  </si>
  <si>
    <t>ACHC – Accreditation Commission for Healthcare, Inc.</t>
  </si>
  <si>
    <t>Visit Type</t>
  </si>
  <si>
    <t>Onsite Validation (4th round of accreditation)</t>
  </si>
  <si>
    <t>Visit Window</t>
  </si>
  <si>
    <t>January 19 – April 17, 2026</t>
  </si>
  <si>
    <t>Notice</t>
  </si>
  <si>
    <t>UNSCHEDULED – NO morning phone call in 2025 cycle</t>
  </si>
  <si>
    <t># Locations Visited</t>
  </si>
  <si>
    <t>23 AHF locations (new sites prioritized)</t>
  </si>
  <si>
    <t>Avoid Visits On</t>
  </si>
  <si>
    <t>Mondays (requested by AHF leadership)</t>
  </si>
  <si>
    <t>Compliance Officer</t>
  </si>
  <si>
    <t>Brandon Patchett, PharmD AAHIVP – Sr. Director Clinical Services</t>
  </si>
  <si>
    <t>Post-Visit SOF</t>
  </si>
  <si>
    <t>Summary of Findings sent to Corporate within 30 days</t>
  </si>
  <si>
    <t>Plan of Correction</t>
  </si>
  <si>
    <t>Drafted at Corporate w/ Pharmacy Director &amp; Regional collaboration</t>
  </si>
  <si>
    <t>ACHC RE-ACCREDITATION — SECTION 1: ORGANIZATION &amp; ADMINISTRATION</t>
  </si>
  <si>
    <t>#</t>
  </si>
  <si>
    <t>ACHC Standard</t>
  </si>
  <si>
    <t>Requirement / What Surveyor Checks</t>
  </si>
  <si>
    <t>AHF Required Action</t>
  </si>
  <si>
    <t>Evidence / Document Needed</t>
  </si>
  <si>
    <t>Status</t>
  </si>
  <si>
    <t>Notes / Owner</t>
  </si>
  <si>
    <t>DRX 1-1A/B</t>
  </si>
  <si>
    <t>Legal authority to operate; valid licensure, Articles of Incorporation on file</t>
  </si>
  <si>
    <t>Confirm federal, state, and local pharmacy licenses are current and accessible</t>
  </si>
  <si>
    <t>Current pharmacy licenses (state BOP, DEA, NPI); Articles of Incorporation</t>
  </si>
  <si>
    <t>Owner: _______________</t>
  </si>
  <si>
    <t>DRX 1-2A</t>
  </si>
  <si>
    <t>Governing body/owner assumes full legal authority; duties clearly defined</t>
  </si>
  <si>
    <t>AHF governing body documentation reviewed and available</t>
  </si>
  <si>
    <t>Governing body bylaws or ownership documentation</t>
  </si>
  <si>
    <t>DRX 1-3A</t>
  </si>
  <si>
    <t>Written conflict-of-interest policy established and implemented</t>
  </si>
  <si>
    <t>Staff can identify where COI policy is located</t>
  </si>
  <si>
    <t>AHF COI Policy &amp; Procedures; signed disclosures on file</t>
  </si>
  <si>
    <t>DRX 1-5A</t>
  </si>
  <si>
    <t>Org chart shows lines of authority for all positions; posted or easily retrievable at each site</t>
  </si>
  <si>
    <t>Post current Jan-2025 org chart in every pharmacy location</t>
  </si>
  <si>
    <t>Org chart posted on wall; URL: Dropbox link per Module 1 slide 13</t>
  </si>
  <si>
    <t>DRX 1-7A</t>
  </si>
  <si>
    <t>Compliance with all applicable federal, state, and local laws and regulations</t>
  </si>
  <si>
    <t>Pharmacy Director aware of all active regulatory requirements</t>
  </si>
  <si>
    <t>State BOP inspection records; DMEPOS supplier standards compliance docs</t>
  </si>
  <si>
    <t>DRX 1-8A</t>
  </si>
  <si>
    <t>Organization complies with accepted professional standards of practice</t>
  </si>
  <si>
    <t>P&amp;Ps align with current pharmacy practice standards</t>
  </si>
  <si>
    <t>Current P&amp;P manual; date of last review</t>
  </si>
  <si>
    <t>DRX 1-9A</t>
  </si>
  <si>
    <t>CMS DMEPOS Supplier and Quality Standards compliance (Medicare/Medicaid billers)</t>
  </si>
  <si>
    <t>Patient Welcome Booklet provided to all new patients (pg. 7-10); marked in Initial Assessment</t>
  </si>
  <si>
    <t>Patient Welcome Booklet (English &amp; Spanish); Initial Assessment form w/ checkbox</t>
  </si>
  <si>
    <t>DRX 1-10A</t>
  </si>
  <si>
    <t>Negative outcomes, sanctions, regulatory inspections reported to ACHC/CMS within 30 days</t>
  </si>
  <si>
    <t>Share all audit/inspection results with Pharmacy Regional → escalate to leadership</t>
  </si>
  <si>
    <t>Documentation of any regulatory findings; correspondence to ACHC/CMS</t>
  </si>
  <si>
    <t>ACHC RE-ACCREDITATION — SECTION 2: PROGRAM / SERVICE OPERATIONS</t>
  </si>
  <si>
    <t>DRX 2-1B</t>
  </si>
  <si>
    <t>Written P&amp;P on description of care/services; patients informed of geographic area, pharmacist contact, Rx status, claims info, network status</t>
  </si>
  <si>
    <t>Ensure patients receive service description info at onboarding</t>
  </si>
  <si>
    <t>Patient Welcome Booklet; AHF Pharmacy website resources</t>
  </si>
  <si>
    <t>DRX 2-2A / 2-2A.01</t>
  </si>
  <si>
    <t>Written P&amp;P on Client/Patient Rights &amp; Responsibilities distributed to all patients</t>
  </si>
  <si>
    <t>Provide Welcome Booklet to all new specialty patients; document in Initial Assessment</t>
  </si>
  <si>
    <t>Welcome Booklet pg. 14-16; Initial Assessment with 'provided' checkbox marked</t>
  </si>
  <si>
    <t>DRX 2-2B</t>
  </si>
  <si>
    <t>Organization actively protects and promotes patient rights</t>
  </si>
  <si>
    <t>Staff can describe how patient rights are upheld in practice</t>
  </si>
  <si>
    <t>P&amp;P on patient rights; staff training documentation</t>
  </si>
  <si>
    <t>DRX 2-2C</t>
  </si>
  <si>
    <t>DMEPOS Supplier Standards distributed to each Medicare recipient</t>
  </si>
  <si>
    <t>Welcome Booklet provided; pg. 7-10 covers DMEPOS standards</t>
  </si>
  <si>
    <t>Welcome Booklet pg. 7-10; delivery/receipt documentation</t>
  </si>
  <si>
    <t>DRX 2-3A</t>
  </si>
  <si>
    <t>P&amp;P for reporting/investigating mistreatment, neglect, verbal/sexual/physical abuse, misappropriation of patient property</t>
  </si>
  <si>
    <t>Staff know how to report abuse incidents; policy accessible</t>
  </si>
  <si>
    <t>AHF abuse reporting P&amp;P; incident log; staff training records</t>
  </si>
  <si>
    <t>DRX 2-4A</t>
  </si>
  <si>
    <t>At initiation of care, patient informed how to report grievances/complaints and investigation process</t>
  </si>
  <si>
    <t>Communicate complaint process at patient intake; document in chart</t>
  </si>
  <si>
    <t>Welcome Booklet pg. 18; Initial Assessment documentation</t>
  </si>
  <si>
    <t>DRX 2-4B</t>
  </si>
  <si>
    <t>Medicare patients notified within 5 calendar days of receiving complaint (oral, phone, email, fax, or letter)</t>
  </si>
  <si>
    <t>If unable to resolve in-store, refer to Customer Care Line; document in SalesForce/RLDatix</t>
  </si>
  <si>
    <t>SalesForce/RLDatix complaint records; CCL referral documentation</t>
  </si>
  <si>
    <t>DRX 2-4C</t>
  </si>
  <si>
    <t>Patients have written info with phone number, contact person, and complaint resolution process</t>
  </si>
  <si>
    <t>Customer Care Line poster posted in public/waiting area (visible to patients)</t>
  </si>
  <si>
    <t>CCL poster on wall (855-894-MEDS); AHF Compliance Hotline 1-800-243-7448</t>
  </si>
  <si>
    <t>DRX 2-5A</t>
  </si>
  <si>
    <t>Written P&amp;P on securing and releasing PHI and ePHI; Notice of Privacy Practices</t>
  </si>
  <si>
    <t>Staff trained on PHI handling; Notice of Privacy Practices available to patients</t>
  </si>
  <si>
    <t>HIPAA P&amp;P; Notice of Privacy Practices (posted/distributed); BAA for business associates</t>
  </si>
  <si>
    <t>DRX 2-5C</t>
  </si>
  <si>
    <t>Business Associate Agreements (BAAs) in place for all vendors with PHI access</t>
  </si>
  <si>
    <t>Confirm BAAs executed for all third-party vendors accessing patient data</t>
  </si>
  <si>
    <t>BAA log; executed BAA documents on file</t>
  </si>
  <si>
    <t>DRX 2-7A/B</t>
  </si>
  <si>
    <t>Written P&amp;P on identification, evaluation, and discussion of ethical issues</t>
  </si>
  <si>
    <t>Staff aware of ethics policy; ethics training completed</t>
  </si>
  <si>
    <t>Ethics P&amp;P; AHF U training completion records (annual)</t>
  </si>
  <si>
    <t>DRX 2-8A</t>
  </si>
  <si>
    <t>Written P&amp;P for serving patients with communication or language barriers</t>
  </si>
  <si>
    <t>Language Line posted with instructions; staff know process; ScripTalk Reader available</t>
  </si>
  <si>
    <t>Language Line poster and instructions; ScripTalk Reader documentation</t>
  </si>
  <si>
    <t>DRX 2-8B</t>
  </si>
  <si>
    <t>Written P&amp;P for serving patients from diverse cultural backgrounds, beliefs, and religions</t>
  </si>
  <si>
    <t>Staff trained on cultural competency; resources available</t>
  </si>
  <si>
    <t>Cultural competency P&amp;P; training records</t>
  </si>
  <si>
    <t>DRX 2-9A</t>
  </si>
  <si>
    <t>Written Compliance Program P&amp;P aimed at preventing fraud and abuse</t>
  </si>
  <si>
    <t>Staff aware of AHF Compliance Program; AHF Compliance Hotline known</t>
  </si>
  <si>
    <t>Compliance Program P&amp;P; AHF Compliance Hotline (1-800-243-7448)</t>
  </si>
  <si>
    <t>DRX 2-10C</t>
  </si>
  <si>
    <t>Appropriate personnel available during posted hours; after-hours answering system in place</t>
  </si>
  <si>
    <t>Customer Care Line (CCL) active 24/7 with pharmacist access; after-hours forwarded to CRC-West</t>
  </si>
  <si>
    <t>CCL contact info; after-hours call routing documentation</t>
  </si>
  <si>
    <t>DRX 2-10F</t>
  </si>
  <si>
    <t>Toll-free number; phone system tracks call wait times, time to speak to clinician, abandonment rate</t>
  </si>
  <si>
    <t>Call metrics monitored monthly: ≤30 sec avg speed, ≤5% abandonment, ≥85% answered in 30 sec</t>
  </si>
  <si>
    <t>Monthly store stats report; Cisco call metrics dashboard</t>
  </si>
  <si>
    <t>ACHC RE-ACCREDITATION — SECTION 3: FISCAL MANAGEMENT</t>
  </si>
  <si>
    <t>DRX 3-1A</t>
  </si>
  <si>
    <t>Annual budget developed collaboratively with management/personnel under governing body direction</t>
  </si>
  <si>
    <t>AHF budget process documented; pharmacy leadership involved in budget development</t>
  </si>
  <si>
    <t>Annual budget documentation; meeting minutes showing pharmacy leadership participation</t>
  </si>
  <si>
    <t>DRX 3-2A</t>
  </si>
  <si>
    <t>Financial practices ensure accurate accounting and billing</t>
  </si>
  <si>
    <t>Accurate billing records maintained; coding and documentation align with dispensed services</t>
  </si>
  <si>
    <t>Billing records; pharmacy financial reconciliation reports</t>
  </si>
  <si>
    <t>DRX 3-4A</t>
  </si>
  <si>
    <t>Care/service rates established; charges communicated to patients, public, and referral sources</t>
  </si>
  <si>
    <t>Inform patients of co-pays, OOP costs, and deductibles PRIOR to processing any prescription</t>
  </si>
  <si>
    <t>Documentation of patient cost counseling in McKesson/Athena clinical notes</t>
  </si>
  <si>
    <t>DRX 3-4B</t>
  </si>
  <si>
    <t>Patient advised of financial responsibility before or at time of service; notified of changes within 30 days</t>
  </si>
  <si>
    <t>Inform patients of cost changes as soon as known; document Medication Access/Cost Consultation note in patient profile</t>
  </si>
  <si>
    <t>Medication Access/Cost Consultation clinical care notes in patient charts</t>
  </si>
  <si>
    <t>DRX 3-4C</t>
  </si>
  <si>
    <t>Mail-order patients advised of financial responsibility prior to receipt of service</t>
  </si>
  <si>
    <t>Patients notified of costs before processing mail-order prescriptions</t>
  </si>
  <si>
    <t>Pre-processing notification documentation; patient acknowledgment records</t>
  </si>
  <si>
    <t>DRX 3-5A</t>
  </si>
  <si>
    <t>Financial hardship forms completed for patients unable to pay</t>
  </si>
  <si>
    <t>Refer patient unable to pay to Pharmacy Director; work with HCC Benefits Counselor, Rx Sales Teams, PCM</t>
  </si>
  <si>
    <t>Completed financial hardship forms; referral documentation to benefits counselors</t>
  </si>
  <si>
    <t>DRX 3-6A</t>
  </si>
  <si>
    <t>Proper billing procedures followed including all prescription and documentation requirements specified by payor</t>
  </si>
  <si>
    <t>Ensure billing documentation matches dispensed medications; payor-specific requirements met</t>
  </si>
  <si>
    <t>Claims documentation; payor-specific billing requirement checklists</t>
  </si>
  <si>
    <t>ACHC RE-ACCREDITATION — SECTION 4: HR MANAGEMENT</t>
  </si>
  <si>
    <t>DRX 4-2C</t>
  </si>
  <si>
    <t>All direct care staff have baseline TB test; annual symptom evaluation completed prior to patient contact</t>
  </si>
  <si>
    <t>Confirm TB test on file for all patient-facing staff upon hire; annual follow-up documented</t>
  </si>
  <si>
    <t>TB test results in HR personnel file; annual TB symptom evaluation records</t>
  </si>
  <si>
    <t>DRX 4-2D</t>
  </si>
  <si>
    <t>Direct care staff have access to Hepatitis B vaccine; offered per CDC/OSHA standards</t>
  </si>
  <si>
    <t>All patient-facing AHF staff offered Hep B vaccine; acceptance or declination documented</t>
  </si>
  <si>
    <t>Hep B vaccination records or signed declination forms in HR files</t>
  </si>
  <si>
    <t>DRX 4-2E</t>
  </si>
  <si>
    <t>Job description for each position consistent with org chart function and reporting structure</t>
  </si>
  <si>
    <t>Current job descriptions on file for all positions; match org chart</t>
  </si>
  <si>
    <t>Current job descriptions; org chart alignment documentation</t>
  </si>
  <si>
    <t>DRX 4-2F</t>
  </si>
  <si>
    <t>Motor vehicle records (MVR) checked at hire and annually for CDL-required drivers</t>
  </si>
  <si>
    <t>PSL drivers: copy of driver license in pharmacy Regulatory Binder and/or with PSL Hub Manager</t>
  </si>
  <si>
    <t>MVR check records; PSL driver license copies in Regulatory Binder</t>
  </si>
  <si>
    <t>DRX 4-2I</t>
  </si>
  <si>
    <t>Written personnel policies/employee handbook established; accessible to all staff</t>
  </si>
  <si>
    <t>All staff familiar with AHF Employee Handbook; accessible via AHF Connect Home Page</t>
  </si>
  <si>
    <t>AHF Employee Handbook; AHF Connect access documentation</t>
  </si>
  <si>
    <t>DRX 4-2J</t>
  </si>
  <si>
    <t>Written annual performance evaluations completed for all staff based on job description; results shared with employee</t>
  </si>
  <si>
    <t>Complete annual evaluations for all staff; review with employee and document</t>
  </si>
  <si>
    <t>Completed annual performance evaluation forms; signed acknowledgment by employee</t>
  </si>
  <si>
    <t>DRX 4-6A/B</t>
  </si>
  <si>
    <t>Written orientation process documented; all personnel documentation reflects orientation completed</t>
  </si>
  <si>
    <t>New hires complete AHF U New Hire Orientation within 30 days of hire; AHF Pharmacy Orientation course completed</t>
  </si>
  <si>
    <t>AHF U completion records; on-boarding checklist signed (kept in pharmacy and/or HR file)</t>
  </si>
  <si>
    <t>DRX 4-7A</t>
  </si>
  <si>
    <t>Competency assessment program designed for all personnel handling medications, equipment, and supplies</t>
  </si>
  <si>
    <t>Pharmacy Director conducts routine and random competency verifications; initial and annual assessments</t>
  </si>
  <si>
    <t>Completed competency assessment forms (hire + annual); Pharmacy Director documentation</t>
  </si>
  <si>
    <t>DRX 4-8A/B</t>
  </si>
  <si>
    <t>Written education plan defines content, frequency, and ongoing in-service training by staff classification</t>
  </si>
  <si>
    <t>All AHF U courses completed by due date; 30-60-90 day evaluations completed for new hires</t>
  </si>
  <si>
    <t>AHF U training completion records; 30-60-90 day evaluation forms on file</t>
  </si>
  <si>
    <t>DRX 4-9C</t>
  </si>
  <si>
    <t>Supervision available during all hours care/service is provided</t>
  </si>
  <si>
    <t>Pharmacist always present in pharmacy; emergency: contact Pharmacy Leadership immediately</t>
  </si>
  <si>
    <t>Schedule documentation; CCL after-hours coverage records</t>
  </si>
  <si>
    <t>DRX 4-9D</t>
  </si>
  <si>
    <t>Registered Pharmacist available 24/7 per patient plan of care</t>
  </si>
  <si>
    <t>After-hours calls forwarded to CRC-West Pharmacists; CCL provides 24/7 access</t>
  </si>
  <si>
    <t>CCL operational documentation; after-hours call routing policy</t>
  </si>
  <si>
    <t>DRX 4-14C</t>
  </si>
  <si>
    <t>Written P&amp;P: Registered Pharmacist supervises pharmacy technicians per state BOP rules</t>
  </si>
  <si>
    <t>Ensure pharmacist supervision documented per state-specific requirements</t>
  </si>
  <si>
    <t>Supervision P&amp;P; state BOP pharmacist-to-tech ratio documentation</t>
  </si>
  <si>
    <t>DRX 4-14F</t>
  </si>
  <si>
    <t>Personnel trained to perform routine cleaning and maintenance of equipment</t>
  </si>
  <si>
    <t>Daily Cleaning Log completed for all equipment (counting trays, spatulas, Kirby Lester, etc.)</t>
  </si>
  <si>
    <t>Daily Counter Tray &amp; Spatula Cleaning Log (AHF Connect); equipment maintenance records</t>
  </si>
  <si>
    <t>DRX 4-15B</t>
  </si>
  <si>
    <t>Mail-order/specialty pharmacy has access to reference library and/or internet</t>
  </si>
  <si>
    <t>All pharmacists and staff have access to Facts &amp; Comparison + UpToDate</t>
  </si>
  <si>
    <t>UpToDate and Facts &amp; Comparison access credentials/subscriptions confirmed</t>
  </si>
  <si>
    <t>STAFF INTERVIEW PREP — KEY Q&amp;A FOR ACHC ONSITE</t>
  </si>
  <si>
    <t>All staff levels. Surveyor will interview staff — these are expected questions and coached answers.</t>
  </si>
  <si>
    <t>ACHC Interview Question</t>
  </si>
  <si>
    <t>Expected / Coached Answer (Key Points)</t>
  </si>
  <si>
    <t>Who Is Asked</t>
  </si>
  <si>
    <t>Staff Initials (Reviewed)</t>
  </si>
  <si>
    <t>Did you complete on-boarding training/orientation?</t>
  </si>
  <si>
    <t>Yes. Completed HR New Hire Orientation (Zoom) + Dept. Orientation AHF U course + hands-on training with supervisor. On-Boarding Checklist is on file in the pharmacy and/or HR.</t>
  </si>
  <si>
    <t>All Staff</t>
  </si>
  <si>
    <t>Can you describe the Chain of Command?</t>
  </si>
  <si>
    <t>I don't need to memorize it — the Org Chart is posted [point to it]. It shows who to report to if my immediate supervisor is unavailable.</t>
  </si>
  <si>
    <t>Who is your Compliance Officer?</t>
  </si>
  <si>
    <t>Brandon Patchett, PharmD — Senior Director of Clinical Services and Pharmacy Compliance.</t>
  </si>
  <si>
    <t>How do you report concerns or complaints from a patient?</t>
  </si>
  <si>
    <t>I communicate any concern to my immediate supervisor immediately. All communications must be documented. If unresolved, refer to Customer Care Line (855-894-MEDS). Pharmacy Director ensures patient safety follow-up.</t>
  </si>
  <si>
    <t>How do you handle patients with communication or language barriers?</t>
  </si>
  <si>
    <t>Use Language Line (instructions are posted — I never have Language Line contact patients directly). For patients who can't read labels, I request a ScripTalk Reader. Contact supervisor or Regional Director if more support is needed.</t>
  </si>
  <si>
    <t>What infection control procedures do you follow?</t>
  </si>
  <si>
    <t>Wash hands with soap and water whenever possible. Clean all equipment (counting trays, spatulas, counters) daily and document in the Daily Cleaning Log. Follow all P&amp;P infection control precautions. Pharmacy Director completes daily Infection Control Tracking Form.</t>
  </si>
  <si>
    <t>Are patients notified before prescriptions are processed?</t>
  </si>
  <si>
    <t>Yes. All patients must be notified prior to any prescription processing — most insurance companies require this, and the patient is financially responsible for any Rx processed. PSL contacts patient before every delivery.</t>
  </si>
  <si>
    <t>Have you received a competency assessment?</t>
  </si>
  <si>
    <t>Yes, upon hire. Pharmacy Directors conduct routine and random competency verifications. Annual competency assessments are required.</t>
  </si>
  <si>
    <t>What safety-related training have you received?</t>
  </si>
  <si>
    <t>I complete all AHF U courses assigned to me by the due date, including DME and Hazardous Drugs training annually. Various regulatory/compliance courses assigned at hire and then annually.</t>
  </si>
  <si>
    <t>How does AHF meet patient needs during a disaster?</t>
  </si>
  <si>
    <t>Notify leadership at AHFRXEmergencyNotification@ahf.org immediately. Work with unaffected pharmacies to process 10-day refills and distribute. Notify patients. Within 24 hours of reopening, follow up to confirm receipt.</t>
  </si>
  <si>
    <t>Where are Patient Rights and DMEPOS Supplier Standards found?</t>
  </si>
  <si>
    <t>In the Patient Welcome Booklet (pg. 7-10 for DMEPOS, pg. 14-16 for Rights). Provided to all new patients and marked in the Initial Assessment. Available on AHF Pharmacy website in English and Spanish. https://ahfpharmacy.org/wp-content/uploads/2023/04/AHFRx_PatientPacket-ACHC-Pt-advocate.pdf</t>
  </si>
  <si>
    <t>How are after-hours calls handled?</t>
  </si>
  <si>
    <t>Customer Care Line (CCL) handles overflow and after-hours calls 24/7 with 24/7 pharmacist access. After-hours calls forwarded to CRC-West Pharmacists.</t>
  </si>
  <si>
    <t>How do you review a patient's medication list?</t>
  </si>
  <si>
    <t>Pharmacist reviews McKesson, patient charts in Athena, and speaks with patient. Duplicate/discontinued medications are cleared. Changes documented in McKesson; Care Plan updated.</t>
  </si>
  <si>
    <t>Pharmacist</t>
  </si>
  <si>
    <t>How are you involved in the PI/CQI program?</t>
  </si>
  <si>
    <t>All sites conduct CQI Meetings at least quarterly. All staff must be familiar with topics discussed. Meeting uses CQI template; attendance recorded. Staff who miss receive meeting minutes from Pharmacy Director.</t>
  </si>
  <si>
    <t>Pharmacist / Director</t>
  </si>
  <si>
    <t>How do you know if a storage temperature is out of range?</t>
  </si>
  <si>
    <t>Pharmacy Director receives notification from Dickson temperature monitoring system. Cold-chain shipments include a temp dot with instructions for patients.</t>
  </si>
  <si>
    <t>Director / Pharmacist</t>
  </si>
  <si>
    <t>How are expired or recalled items handled?</t>
  </si>
  <si>
    <t>Recalled items: remove from shelves immediately upon notice; place in Drug Recall bin. Expired: placed in Expired Medication Bin. Staff conduct monthly checks.</t>
  </si>
  <si>
    <t>Where and how are hazardous drugs stored?</t>
  </si>
  <si>
    <t>HDs are stored in a separate area from non-hazardous drugs. Area is clearly labeled 'Hazardous.' Chemo Spill Kit and gloves is kept near the HD storage area.</t>
  </si>
  <si>
    <t>How do you clean prescription preparation equipment?</t>
  </si>
  <si>
    <t>All equipment cleaned daily: counting trays, spatulas, counters, computers. Cleaning agent: Alcohol/Hypo-Chloride spray. HD deactivating agent: sodium Hypochlorite 5.25%. Documented in Daily Cleaning Log.</t>
  </si>
  <si>
    <t>Do you receive ongoing education beyond required CEs?</t>
  </si>
  <si>
    <t>Yes. Pharmacists and techs complete 2 Mini-Learning Sessions (MLS) per quarter (8/year). Topics focus on HIV clinical management, PrEP, PEP, Hep-C. Created by AHF Clinical Support team.</t>
  </si>
  <si>
    <t>Pharmacist / Tech</t>
  </si>
  <si>
    <t>How do patients pay and how are financial hardships handled?</t>
  </si>
  <si>
    <t>Patients are informed of co-pays, OOP costs, and deductibles PRIOR to processing. If unable to pay, refer to Pharmacy Director. Work with HCC Benefits Counselor and other AHF teams. Financial hardship forms are completed.</t>
  </si>
  <si>
    <t>DAY-OF ACHC VISIT CHECKLIST — PHARMACY DIRECTOR</t>
  </si>
  <si>
    <t>Visit is UNSCHEDULED. No morning phone call. Be ready any day Jan 19 – Apr 17, 2026 (avoid Mondays).</t>
  </si>
  <si>
    <t>Phase</t>
  </si>
  <si>
    <t>Action Item</t>
  </si>
  <si>
    <t>Details / Notes</t>
  </si>
  <si>
    <t>Done?</t>
  </si>
  <si>
    <t>Owner</t>
  </si>
  <si>
    <t>OPENING</t>
  </si>
  <si>
    <t>Greet ACHC Surveyor professionally; introduce yourself as Pharmacy Director</t>
  </si>
  <si>
    <t>Confirm surveyor's credentials; offer water; keep staff calm</t>
  </si>
  <si>
    <t>Owner: ___</t>
  </si>
  <si>
    <t>Participate in Opening Conference to set schedule for the day</t>
  </si>
  <si>
    <t>Understand what the surveyor plans to review; clarify any constraints</t>
  </si>
  <si>
    <t>Designate a staff coordinator to shadow the surveyor (not answer for staff)</t>
  </si>
  <si>
    <t>Staff must answer independently — coordinator ensures smooth logistics only</t>
  </si>
  <si>
    <t>Alert staff: ACHC visit in progress — patients still come first</t>
  </si>
  <si>
    <t>Brief all staff via quick huddle; remind: relax, honest answers, refer to policies</t>
  </si>
  <si>
    <t>TOUR</t>
  </si>
  <si>
    <t>Conduct facility tour</t>
  </si>
  <si>
    <t>Surveyor observes layout, cleanliness, storage, signage, equipment</t>
  </si>
  <si>
    <t>Confirm Org Chart is posted and visible</t>
  </si>
  <si>
    <t>Jan-2025 org chart must be posted or easily retrievable</t>
  </si>
  <si>
    <t>Confirm Customer Care Line poster is posted in public/patient waiting area</t>
  </si>
  <si>
    <t>Must be clearly visible; includes 855-894-MEDS number</t>
  </si>
  <si>
    <t>Confirm Language Line instructions are posted</t>
  </si>
  <si>
    <t>Posted with process; reminder: Language Line never contacts patient directly</t>
  </si>
  <si>
    <t>Confirm Hazardous Drug storage area is labeled; Chemo Spill Kit nearby</t>
  </si>
  <si>
    <t>HD area clearly marked; non-HD drugs stored separately</t>
  </si>
  <si>
    <t>Confirm Drug Recall Bin and Expired Medication Bin are labeled and in place</t>
  </si>
  <si>
    <t>Separate bins; monthly check log current</t>
  </si>
  <si>
    <t>Confirm Daily Cleaning Log is current and accessible</t>
  </si>
  <si>
    <t>Counting trays, spatulas, Kirby Lester, counters; log up to date today</t>
  </si>
  <si>
    <t>Confirm Infection Control Tracking Form is current (Pharmacy Director)</t>
  </si>
  <si>
    <t>Daily form completed; zero-occurrence months documented</t>
  </si>
  <si>
    <t>Confirm temperature monitoring is functional (Dickson system)</t>
  </si>
  <si>
    <t>Confirm Pharmacy Director is set up to receive alerts</t>
  </si>
  <si>
    <t>RECORDS</t>
  </si>
  <si>
    <t>Have patient records ready for review (5 patients on ARV specialty therapy)</t>
  </si>
  <si>
    <t>Charts in McKesson/Athena; include med reconciliation and care plan notes</t>
  </si>
  <si>
    <t>Financial documentation: cost counseling notes in patient profiles</t>
  </si>
  <si>
    <t>Medication Access/Cost Consultation clinical care notes must be present</t>
  </si>
  <si>
    <t>Complaint/grievance documentation in SalesForce/RLDatix; quarterly CQI meeting minutes</t>
  </si>
  <si>
    <t>QRE records; CQI attendance sheets with agenda topics</t>
  </si>
  <si>
    <t>Employee files: onboarding checklists, TB tests, Hep B, licenses, competency assessments, evaluations</t>
  </si>
  <si>
    <t>Per DRX 4-series requirements; at least sample files available</t>
  </si>
  <si>
    <t>Regulatory Binder: PSL driver licenses, MVR checks, state BOP inspection records</t>
  </si>
  <si>
    <t>Binder accessible and organized</t>
  </si>
  <si>
    <t>Staff AHF U completion records accessible (training transcripts)</t>
  </si>
  <si>
    <t>DynaMedex and Facts &amp; Comparison access confirmed</t>
  </si>
  <si>
    <t>INTERVIEWS</t>
  </si>
  <si>
    <t>Staff interviews — do NOT coach answers in real time</t>
  </si>
  <si>
    <t>Staff should say: 'I would refer to my supervisor / the Policy Manual / the Org Chart'</t>
  </si>
  <si>
    <t>Patient interviews/visits — surveyor may contact patients directly</t>
  </si>
  <si>
    <t>Ensure patient records reflect quality care and complete documentation</t>
  </si>
  <si>
    <t>QI/PI</t>
  </si>
  <si>
    <t>CQI meeting minutes available with attendance records (quarterly, all topics covered)</t>
  </si>
  <si>
    <t>CQI template used; all agenda items addressed; missing staff received minutes</t>
  </si>
  <si>
    <t>Call metrics report (monthly store stats) available</t>
  </si>
  <si>
    <t>Avg speed ≤30 sec, abandonment ≤5%, ≥85% answered in 30 sec</t>
  </si>
  <si>
    <t>CLOSING</t>
  </si>
  <si>
    <t>Participate in Exit Conference</t>
  </si>
  <si>
    <t>Listen carefully; ask clarifying questions; challenge incorrect findings respectfully</t>
  </si>
  <si>
    <t>Document all findings noted by surveyor; share with Pharmacy Regional immediately</t>
  </si>
  <si>
    <t>Summary of Findings (SOF) sent to Corporate within 30 days; Plan of Correction drafted</t>
  </si>
  <si>
    <t>Do NOT fixate on your score during the visit</t>
  </si>
  <si>
    <t>Deficiencies are expected and common; POC is a normal part of the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</si>
</sst>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9"/>
      <color rgb="FF005470"/>
      <name val="Arial"/>
    </font>
    <font>
      <b/>
      <sz val="9"/>
      <name val="Arial"/>
    </font>
    <font>
      <sz val="9"/>
      <name val="Arial"/>
    </font>
    <font>
      <i/>
      <sz val="9"/>
      <color rgb="FF666666"/>
      <name val="Arial"/>
    </font>
    <font>
      <sz val="10"/>
      <color rgb="FFFFFFFF"/>
      <name val="Arial"/>
    </font>
    <font>
      <i/>
      <sz val="9"/>
      <color rgb="FF888888"/>
      <name val="Arial"/>
    </font>
  </fonts>
  <fills count="15">
    <fill>
      <patternFill patternType="none"/>
    </fill>
    <fill>
      <patternFill patternType="gray125"/>
    </fill>
    <fill>
      <patternFill patternType="solid">
        <fgColor rgb="FF005470"/>
      </patternFill>
    </fill>
    <fill>
      <patternFill patternType="solid">
        <fgColor rgb="FF007EA7"/>
      </patternFill>
    </fill>
    <fill>
      <patternFill patternType="solid">
        <fgColor rgb="FFF2F2F2"/>
      </patternFill>
    </fill>
    <fill>
      <patternFill patternType="solid">
        <fgColor rgb="FFD6EE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C00000"/>
      </patternFill>
    </fill>
    <fill>
      <patternFill patternType="solid">
        <fgColor rgb="FFD9EAF7"/>
      </patternFill>
    </fill>
    <fill>
      <patternFill patternType="solid">
        <fgColor rgb="FFFFE6CC"/>
      </patternFill>
    </fill>
    <fill>
      <patternFill patternType="solid">
        <fgColor rgb="FFE1D5E7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0" fillId="7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selection sqref="A1:H1"/>
    </sheetView>
  </sheetViews>
  <sheetFormatPr defaultRowHeight="15"/>
  <cols>
    <col min="1" max="1" width="25.42578125" customWidth="1"/>
    <col min="2" max="2" width="34" customWidth="1"/>
    <col min="3" max="4" width="10" customWidth="1"/>
    <col min="5" max="5" width="12" customWidth="1"/>
    <col min="6" max="6" width="8" customWidth="1"/>
    <col min="7" max="7" width="6" customWidth="1"/>
    <col min="8" max="8" width="10" customWidth="1"/>
  </cols>
  <sheetData>
    <row r="1" spans="1:8" ht="50.1" customHeight="1">
      <c r="A1" s="33" t="s">
        <v>0</v>
      </c>
      <c r="B1" s="40"/>
      <c r="C1" s="40"/>
      <c r="D1" s="40"/>
      <c r="E1" s="40"/>
      <c r="F1" s="40"/>
      <c r="G1" s="40"/>
      <c r="H1" s="40"/>
    </row>
    <row r="2" spans="1:8" ht="21.95" customHeight="1">
      <c r="A2" s="35" t="s">
        <v>1</v>
      </c>
      <c r="B2" s="40"/>
      <c r="C2" s="40"/>
      <c r="D2" s="40"/>
      <c r="E2" s="40"/>
      <c r="F2" s="40"/>
      <c r="G2" s="40"/>
      <c r="H2" s="40"/>
    </row>
    <row r="4" spans="1:8" ht="20.100000000000001" customHeight="1">
      <c r="A4" s="37" t="s">
        <v>2</v>
      </c>
      <c r="B4" s="40"/>
      <c r="C4" s="40"/>
      <c r="D4" s="40"/>
      <c r="E4" s="40"/>
      <c r="F4" s="40"/>
      <c r="G4" s="40"/>
      <c r="H4" s="40"/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20.100000000000001" customHeight="1">
      <c r="A6" s="2" t="s">
        <v>11</v>
      </c>
      <c r="B6" s="3" t="s">
        <v>12</v>
      </c>
      <c r="C6" s="4">
        <f>'📋 Sec1 - Org &amp; Admin'!B2</f>
        <v>8</v>
      </c>
      <c r="D6" s="4">
        <f>'📋 Sec1 - Org &amp; Admin'!C2</f>
        <v>0</v>
      </c>
      <c r="E6" s="4">
        <f>'📋 Sec1 - Org &amp; Admin'!D2</f>
        <v>0</v>
      </c>
      <c r="F6" s="4">
        <f>'📋 Sec1 - Org &amp; Admin'!E2</f>
        <v>0</v>
      </c>
      <c r="G6" s="4">
        <f>'📋 Sec1 - Org &amp; Admin'!F2</f>
        <v>0</v>
      </c>
      <c r="H6" s="5">
        <f>IFERROR(D6/(C6-G6),0)</f>
        <v>0</v>
      </c>
    </row>
    <row r="7" spans="1:8" ht="20.100000000000001" customHeight="1">
      <c r="A7" s="2" t="s">
        <v>13</v>
      </c>
      <c r="B7" s="3" t="s">
        <v>14</v>
      </c>
      <c r="C7" s="4">
        <f>'📋 Sec2 - Program Ops'!B2</f>
        <v>16</v>
      </c>
      <c r="D7" s="4">
        <f>'📋 Sec2 - Program Ops'!C2</f>
        <v>0</v>
      </c>
      <c r="E7" s="4">
        <f>'📋 Sec2 - Program Ops'!D2</f>
        <v>0</v>
      </c>
      <c r="F7" s="4">
        <f>'📋 Sec2 - Program Ops'!E2</f>
        <v>0</v>
      </c>
      <c r="G7" s="4">
        <f>'📋 Sec2 - Program Ops'!F2</f>
        <v>0</v>
      </c>
      <c r="H7" s="5">
        <f>IFERROR(D7/(C7-G7),0)</f>
        <v>0</v>
      </c>
    </row>
    <row r="8" spans="1:8" ht="20.100000000000001" customHeight="1">
      <c r="A8" s="2" t="s">
        <v>15</v>
      </c>
      <c r="B8" s="3" t="s">
        <v>16</v>
      </c>
      <c r="C8" s="4">
        <f>'📋 Sec3 - Fiscal'!B2</f>
        <v>7</v>
      </c>
      <c r="D8" s="4">
        <f>'📋 Sec3 - Fiscal'!C2</f>
        <v>0</v>
      </c>
      <c r="E8" s="4">
        <f>'📋 Sec3 - Fiscal'!D2</f>
        <v>0</v>
      </c>
      <c r="F8" s="4">
        <f>'📋 Sec3 - Fiscal'!E2</f>
        <v>0</v>
      </c>
      <c r="G8" s="4">
        <f>'📋 Sec3 - Fiscal'!F2</f>
        <v>0</v>
      </c>
      <c r="H8" s="5">
        <f>IFERROR(D8/(C8-G8),0)</f>
        <v>0</v>
      </c>
    </row>
    <row r="9" spans="1:8" ht="20.100000000000001" customHeight="1">
      <c r="A9" s="2" t="s">
        <v>17</v>
      </c>
      <c r="B9" s="3" t="s">
        <v>18</v>
      </c>
      <c r="C9" s="4">
        <f>'📋 Sec4 - HR'!B2</f>
        <v>14</v>
      </c>
      <c r="D9" s="4">
        <f>'📋 Sec4 - HR'!C2</f>
        <v>0</v>
      </c>
      <c r="E9" s="4">
        <f>'📋 Sec4 - HR'!D2</f>
        <v>0</v>
      </c>
      <c r="F9" s="4">
        <f>'📋 Sec4 - HR'!E2</f>
        <v>0</v>
      </c>
      <c r="G9" s="4">
        <f>'📋 Sec4 - HR'!F2</f>
        <v>0</v>
      </c>
      <c r="H9" s="5">
        <f>IFERROR(D9/(C9-G9),0)</f>
        <v>0</v>
      </c>
    </row>
    <row r="10" spans="1:8" ht="21.95" customHeight="1">
      <c r="A10" s="36" t="s">
        <v>19</v>
      </c>
      <c r="B10" s="41"/>
      <c r="C10" s="6">
        <f>SUM(C6:C9)</f>
        <v>45</v>
      </c>
      <c r="D10" s="6">
        <f>SUM(D6:D9)</f>
        <v>0</v>
      </c>
      <c r="E10" s="6">
        <f>SUM(E6:E9)</f>
        <v>0</v>
      </c>
      <c r="F10" s="6">
        <f>SUM(F6:F9)</f>
        <v>0</v>
      </c>
      <c r="G10" s="6">
        <f>SUM(G6:G9)</f>
        <v>0</v>
      </c>
      <c r="H10" s="7">
        <f>IFERROR(D10/(C10-G10),0)</f>
        <v>0</v>
      </c>
    </row>
    <row r="12" spans="1:8">
      <c r="A12" s="37" t="s">
        <v>20</v>
      </c>
      <c r="B12" s="40"/>
      <c r="C12" s="40"/>
      <c r="D12" s="40"/>
      <c r="E12" s="40"/>
      <c r="F12" s="40"/>
      <c r="G12" s="40"/>
      <c r="H12" s="40"/>
    </row>
    <row r="13" spans="1:8" ht="18" customHeight="1">
      <c r="A13" s="8" t="s">
        <v>21</v>
      </c>
      <c r="B13" s="34" t="s">
        <v>22</v>
      </c>
      <c r="C13" s="41"/>
      <c r="D13" s="41"/>
      <c r="E13" s="41"/>
      <c r="F13" s="41"/>
      <c r="G13" s="41"/>
      <c r="H13" s="41"/>
    </row>
    <row r="14" spans="1:8" ht="18" customHeight="1">
      <c r="A14" s="8" t="s">
        <v>23</v>
      </c>
      <c r="B14" s="34" t="s">
        <v>24</v>
      </c>
      <c r="C14" s="41"/>
      <c r="D14" s="41"/>
      <c r="E14" s="41"/>
      <c r="F14" s="41"/>
      <c r="G14" s="41"/>
      <c r="H14" s="41"/>
    </row>
    <row r="15" spans="1:8" ht="18" customHeight="1">
      <c r="A15" s="8" t="s">
        <v>25</v>
      </c>
      <c r="B15" s="34" t="s">
        <v>26</v>
      </c>
      <c r="C15" s="41"/>
      <c r="D15" s="41"/>
      <c r="E15" s="41"/>
      <c r="F15" s="41"/>
      <c r="G15" s="41"/>
      <c r="H15" s="41"/>
    </row>
    <row r="16" spans="1:8" ht="18" customHeight="1">
      <c r="A16" s="8" t="s">
        <v>27</v>
      </c>
      <c r="B16" s="34" t="s">
        <v>28</v>
      </c>
      <c r="C16" s="41"/>
      <c r="D16" s="41"/>
      <c r="E16" s="41"/>
      <c r="F16" s="41"/>
      <c r="G16" s="41"/>
      <c r="H16" s="41"/>
    </row>
    <row r="17" spans="1:8" ht="18" customHeight="1">
      <c r="A17" s="8" t="s">
        <v>29</v>
      </c>
      <c r="B17" s="34" t="s">
        <v>30</v>
      </c>
      <c r="C17" s="41"/>
      <c r="D17" s="41"/>
      <c r="E17" s="41"/>
      <c r="F17" s="41"/>
      <c r="G17" s="41"/>
      <c r="H17" s="41"/>
    </row>
    <row r="18" spans="1:8" ht="18" customHeight="1">
      <c r="A18" s="8" t="s">
        <v>31</v>
      </c>
      <c r="B18" s="34" t="s">
        <v>32</v>
      </c>
      <c r="C18" s="41"/>
      <c r="D18" s="41"/>
      <c r="E18" s="41"/>
      <c r="F18" s="41"/>
      <c r="G18" s="41"/>
      <c r="H18" s="41"/>
    </row>
    <row r="19" spans="1:8" ht="18" customHeight="1">
      <c r="A19" s="8" t="s">
        <v>33</v>
      </c>
      <c r="B19" s="34" t="s">
        <v>34</v>
      </c>
      <c r="C19" s="41"/>
      <c r="D19" s="41"/>
      <c r="E19" s="41"/>
      <c r="F19" s="41"/>
      <c r="G19" s="41"/>
      <c r="H19" s="41"/>
    </row>
    <row r="20" spans="1:8" ht="18" customHeight="1">
      <c r="A20" s="8" t="s">
        <v>35</v>
      </c>
      <c r="B20" s="34" t="s">
        <v>36</v>
      </c>
      <c r="C20" s="41"/>
      <c r="D20" s="41"/>
      <c r="E20" s="41"/>
      <c r="F20" s="41"/>
      <c r="G20" s="41"/>
      <c r="H20" s="41"/>
    </row>
    <row r="21" spans="1:8" ht="18" customHeight="1">
      <c r="A21" s="8" t="s">
        <v>37</v>
      </c>
      <c r="B21" s="34" t="s">
        <v>38</v>
      </c>
      <c r="C21" s="41"/>
      <c r="D21" s="41"/>
      <c r="E21" s="41"/>
      <c r="F21" s="41"/>
      <c r="G21" s="41"/>
      <c r="H21" s="41"/>
    </row>
  </sheetData>
  <mergeCells count="14">
    <mergeCell ref="A1:H1"/>
    <mergeCell ref="B19:H19"/>
    <mergeCell ref="B20:H20"/>
    <mergeCell ref="B21:H21"/>
    <mergeCell ref="A2:H2"/>
    <mergeCell ref="A10:B10"/>
    <mergeCell ref="B16:H16"/>
    <mergeCell ref="B15:H15"/>
    <mergeCell ref="A12:H12"/>
    <mergeCell ref="A4:H4"/>
    <mergeCell ref="B14:H14"/>
    <mergeCell ref="B17:H17"/>
    <mergeCell ref="B18:H18"/>
    <mergeCell ref="B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>
      <pane ySplit="3" topLeftCell="A6" activePane="bottomLeft" state="frozen"/>
      <selection pane="bottomLeft" sqref="A1:G1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38" customWidth="1"/>
    <col min="5" max="5" width="36" customWidth="1"/>
    <col min="6" max="6" width="14" customWidth="1"/>
    <col min="7" max="7" width="28" customWidth="1"/>
  </cols>
  <sheetData>
    <row r="1" spans="1:7" ht="38.1" customHeight="1">
      <c r="A1" s="32" t="s">
        <v>39</v>
      </c>
      <c r="B1" s="40"/>
      <c r="C1" s="40"/>
      <c r="D1" s="40"/>
      <c r="E1" s="40"/>
      <c r="F1" s="40"/>
      <c r="G1" s="40"/>
    </row>
    <row r="2" spans="1:7" ht="15" customHeight="1">
      <c r="B2">
        <v>8</v>
      </c>
      <c r="C2">
        <f>COUNTIF(F4:F11,"✅ Complete")</f>
        <v>0</v>
      </c>
      <c r="D2">
        <f>COUNTIF(F4:F11,"⚠️ In Progress")</f>
        <v>0</v>
      </c>
      <c r="E2">
        <f>COUNTIF(F4:F11,"❌ Gap")</f>
        <v>0</v>
      </c>
      <c r="F2">
        <f>COUNTIF(F4:F11,"N/A")</f>
        <v>0</v>
      </c>
    </row>
    <row r="3" spans="1:7" ht="30" customHeight="1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spans="1:7" ht="45" customHeight="1">
      <c r="A4" s="10">
        <v>1</v>
      </c>
      <c r="B4" s="11" t="s">
        <v>47</v>
      </c>
      <c r="C4" s="12" t="s">
        <v>48</v>
      </c>
      <c r="D4" s="12" t="s">
        <v>49</v>
      </c>
      <c r="E4" s="12" t="s">
        <v>50</v>
      </c>
      <c r="F4" s="13"/>
      <c r="G4" s="14" t="s">
        <v>51</v>
      </c>
    </row>
    <row r="5" spans="1:7" ht="45" customHeight="1">
      <c r="A5" s="10">
        <v>2</v>
      </c>
      <c r="B5" s="11" t="s">
        <v>52</v>
      </c>
      <c r="C5" s="15" t="s">
        <v>53</v>
      </c>
      <c r="D5" s="15" t="s">
        <v>54</v>
      </c>
      <c r="E5" s="15" t="s">
        <v>55</v>
      </c>
      <c r="F5" s="13"/>
      <c r="G5" s="16" t="s">
        <v>51</v>
      </c>
    </row>
    <row r="6" spans="1:7" ht="45" customHeight="1">
      <c r="A6" s="10">
        <v>3</v>
      </c>
      <c r="B6" s="11" t="s">
        <v>56</v>
      </c>
      <c r="C6" s="12" t="s">
        <v>57</v>
      </c>
      <c r="D6" s="12" t="s">
        <v>58</v>
      </c>
      <c r="E6" s="12" t="s">
        <v>59</v>
      </c>
      <c r="F6" s="13"/>
      <c r="G6" s="14" t="s">
        <v>51</v>
      </c>
    </row>
    <row r="7" spans="1:7" ht="45" customHeight="1">
      <c r="A7" s="10">
        <v>4</v>
      </c>
      <c r="B7" s="11" t="s">
        <v>60</v>
      </c>
      <c r="C7" s="15" t="s">
        <v>61</v>
      </c>
      <c r="D7" s="15" t="s">
        <v>62</v>
      </c>
      <c r="E7" s="15" t="s">
        <v>63</v>
      </c>
      <c r="F7" s="13"/>
      <c r="G7" s="16" t="s">
        <v>51</v>
      </c>
    </row>
    <row r="8" spans="1:7" ht="45" customHeight="1">
      <c r="A8" s="10">
        <v>5</v>
      </c>
      <c r="B8" s="11" t="s">
        <v>64</v>
      </c>
      <c r="C8" s="12" t="s">
        <v>65</v>
      </c>
      <c r="D8" s="12" t="s">
        <v>66</v>
      </c>
      <c r="E8" s="12" t="s">
        <v>67</v>
      </c>
      <c r="F8" s="13"/>
      <c r="G8" s="14" t="s">
        <v>51</v>
      </c>
    </row>
    <row r="9" spans="1:7" ht="45" customHeight="1">
      <c r="A9" s="10">
        <v>6</v>
      </c>
      <c r="B9" s="11" t="s">
        <v>68</v>
      </c>
      <c r="C9" s="15" t="s">
        <v>69</v>
      </c>
      <c r="D9" s="15" t="s">
        <v>70</v>
      </c>
      <c r="E9" s="15" t="s">
        <v>71</v>
      </c>
      <c r="F9" s="13"/>
      <c r="G9" s="16" t="s">
        <v>51</v>
      </c>
    </row>
    <row r="10" spans="1:7" ht="45" customHeight="1">
      <c r="A10" s="10">
        <v>7</v>
      </c>
      <c r="B10" s="11" t="s">
        <v>72</v>
      </c>
      <c r="C10" s="12" t="s">
        <v>73</v>
      </c>
      <c r="D10" s="12" t="s">
        <v>74</v>
      </c>
      <c r="E10" s="12" t="s">
        <v>75</v>
      </c>
      <c r="F10" s="13"/>
      <c r="G10" s="14" t="s">
        <v>51</v>
      </c>
    </row>
    <row r="11" spans="1:7" ht="45" customHeight="1">
      <c r="A11" s="10">
        <v>8</v>
      </c>
      <c r="B11" s="11" t="s">
        <v>76</v>
      </c>
      <c r="C11" s="15" t="s">
        <v>77</v>
      </c>
      <c r="D11" s="15" t="s">
        <v>78</v>
      </c>
      <c r="E11" s="15" t="s">
        <v>79</v>
      </c>
      <c r="F11" s="13"/>
      <c r="G11" s="16" t="s">
        <v>51</v>
      </c>
    </row>
  </sheetData>
  <mergeCells count="1">
    <mergeCell ref="A1:G1"/>
  </mergeCells>
  <dataValidations count="1">
    <dataValidation type="list" allowBlank="1" sqref="F4:F11" xr:uid="{00000000-0002-0000-0100-000000000000}">
      <formula1>"✅ Complete,⚠️ In Progress,❌ Gap,N/A"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workbookViewId="0">
      <pane ySplit="3" topLeftCell="A14" activePane="bottomLeft" state="frozen"/>
      <selection pane="bottomLeft" sqref="A1:G1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38" customWidth="1"/>
    <col min="5" max="5" width="36" customWidth="1"/>
    <col min="6" max="6" width="14" customWidth="1"/>
    <col min="7" max="7" width="28" customWidth="1"/>
  </cols>
  <sheetData>
    <row r="1" spans="1:7" ht="38.1" customHeight="1">
      <c r="A1" s="32" t="s">
        <v>80</v>
      </c>
      <c r="B1" s="40"/>
      <c r="C1" s="40"/>
      <c r="D1" s="40"/>
      <c r="E1" s="40"/>
      <c r="F1" s="40"/>
      <c r="G1" s="40"/>
    </row>
    <row r="2" spans="1:7" ht="15" customHeight="1">
      <c r="B2">
        <v>16</v>
      </c>
      <c r="C2">
        <f>COUNTIF(F4:F19,"✅ Complete")</f>
        <v>0</v>
      </c>
      <c r="D2">
        <f>COUNTIF(F4:F19,"⚠️ In Progress")</f>
        <v>0</v>
      </c>
      <c r="E2">
        <f>COUNTIF(F4:F19,"❌ Gap")</f>
        <v>0</v>
      </c>
      <c r="F2">
        <f>COUNTIF(F4:F19,"N/A")</f>
        <v>0</v>
      </c>
    </row>
    <row r="3" spans="1:7" ht="30" customHeight="1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spans="1:7" ht="45" customHeight="1">
      <c r="A4" s="10">
        <v>1</v>
      </c>
      <c r="B4" s="11" t="s">
        <v>81</v>
      </c>
      <c r="C4" s="12" t="s">
        <v>82</v>
      </c>
      <c r="D4" s="12" t="s">
        <v>83</v>
      </c>
      <c r="E4" s="12" t="s">
        <v>84</v>
      </c>
      <c r="F4" s="13"/>
      <c r="G4" s="14" t="s">
        <v>51</v>
      </c>
    </row>
    <row r="5" spans="1:7" ht="45" customHeight="1">
      <c r="A5" s="10">
        <v>2</v>
      </c>
      <c r="B5" s="11" t="s">
        <v>85</v>
      </c>
      <c r="C5" s="15" t="s">
        <v>86</v>
      </c>
      <c r="D5" s="15" t="s">
        <v>87</v>
      </c>
      <c r="E5" s="15" t="s">
        <v>88</v>
      </c>
      <c r="F5" s="13"/>
      <c r="G5" s="16" t="s">
        <v>51</v>
      </c>
    </row>
    <row r="6" spans="1:7" ht="45" customHeight="1">
      <c r="A6" s="10">
        <v>3</v>
      </c>
      <c r="B6" s="11" t="s">
        <v>89</v>
      </c>
      <c r="C6" s="12" t="s">
        <v>90</v>
      </c>
      <c r="D6" s="12" t="s">
        <v>91</v>
      </c>
      <c r="E6" s="12" t="s">
        <v>92</v>
      </c>
      <c r="F6" s="13"/>
      <c r="G6" s="14" t="s">
        <v>51</v>
      </c>
    </row>
    <row r="7" spans="1:7" ht="45" customHeight="1">
      <c r="A7" s="10">
        <v>4</v>
      </c>
      <c r="B7" s="11" t="s">
        <v>93</v>
      </c>
      <c r="C7" s="15" t="s">
        <v>94</v>
      </c>
      <c r="D7" s="15" t="s">
        <v>95</v>
      </c>
      <c r="E7" s="15" t="s">
        <v>96</v>
      </c>
      <c r="F7" s="13"/>
      <c r="G7" s="16" t="s">
        <v>51</v>
      </c>
    </row>
    <row r="8" spans="1:7" ht="45" customHeight="1">
      <c r="A8" s="10">
        <v>5</v>
      </c>
      <c r="B8" s="11" t="s">
        <v>97</v>
      </c>
      <c r="C8" s="12" t="s">
        <v>98</v>
      </c>
      <c r="D8" s="12" t="s">
        <v>99</v>
      </c>
      <c r="E8" s="12" t="s">
        <v>100</v>
      </c>
      <c r="F8" s="13"/>
      <c r="G8" s="14" t="s">
        <v>51</v>
      </c>
    </row>
    <row r="9" spans="1:7" ht="45" customHeight="1">
      <c r="A9" s="10">
        <v>6</v>
      </c>
      <c r="B9" s="11" t="s">
        <v>101</v>
      </c>
      <c r="C9" s="15" t="s">
        <v>102</v>
      </c>
      <c r="D9" s="15" t="s">
        <v>103</v>
      </c>
      <c r="E9" s="15" t="s">
        <v>104</v>
      </c>
      <c r="F9" s="13"/>
      <c r="G9" s="16" t="s">
        <v>51</v>
      </c>
    </row>
    <row r="10" spans="1:7" ht="45" customHeight="1">
      <c r="A10" s="10">
        <v>7</v>
      </c>
      <c r="B10" s="11" t="s">
        <v>105</v>
      </c>
      <c r="C10" s="12" t="s">
        <v>106</v>
      </c>
      <c r="D10" s="12" t="s">
        <v>107</v>
      </c>
      <c r="E10" s="12" t="s">
        <v>108</v>
      </c>
      <c r="F10" s="13"/>
      <c r="G10" s="14" t="s">
        <v>51</v>
      </c>
    </row>
    <row r="11" spans="1:7" ht="45" customHeight="1">
      <c r="A11" s="10">
        <v>8</v>
      </c>
      <c r="B11" s="11" t="s">
        <v>109</v>
      </c>
      <c r="C11" s="15" t="s">
        <v>110</v>
      </c>
      <c r="D11" s="15" t="s">
        <v>111</v>
      </c>
      <c r="E11" s="15" t="s">
        <v>112</v>
      </c>
      <c r="F11" s="13"/>
      <c r="G11" s="16" t="s">
        <v>51</v>
      </c>
    </row>
    <row r="12" spans="1:7" ht="45" customHeight="1">
      <c r="A12" s="10">
        <v>9</v>
      </c>
      <c r="B12" s="11" t="s">
        <v>113</v>
      </c>
      <c r="C12" s="12" t="s">
        <v>114</v>
      </c>
      <c r="D12" s="12" t="s">
        <v>115</v>
      </c>
      <c r="E12" s="12" t="s">
        <v>116</v>
      </c>
      <c r="F12" s="13"/>
      <c r="G12" s="14" t="s">
        <v>51</v>
      </c>
    </row>
    <row r="13" spans="1:7" ht="45" customHeight="1">
      <c r="A13" s="10">
        <v>10</v>
      </c>
      <c r="B13" s="11" t="s">
        <v>117</v>
      </c>
      <c r="C13" s="15" t="s">
        <v>118</v>
      </c>
      <c r="D13" s="15" t="s">
        <v>119</v>
      </c>
      <c r="E13" s="15" t="s">
        <v>120</v>
      </c>
      <c r="F13" s="13"/>
      <c r="G13" s="16" t="s">
        <v>51</v>
      </c>
    </row>
    <row r="14" spans="1:7" ht="45" customHeight="1">
      <c r="A14" s="10">
        <v>11</v>
      </c>
      <c r="B14" s="11" t="s">
        <v>121</v>
      </c>
      <c r="C14" s="12" t="s">
        <v>122</v>
      </c>
      <c r="D14" s="12" t="s">
        <v>123</v>
      </c>
      <c r="E14" s="12" t="s">
        <v>124</v>
      </c>
      <c r="F14" s="13"/>
      <c r="G14" s="14" t="s">
        <v>51</v>
      </c>
    </row>
    <row r="15" spans="1:7" ht="45" customHeight="1">
      <c r="A15" s="10">
        <v>12</v>
      </c>
      <c r="B15" s="11" t="s">
        <v>125</v>
      </c>
      <c r="C15" s="15" t="s">
        <v>126</v>
      </c>
      <c r="D15" s="15" t="s">
        <v>127</v>
      </c>
      <c r="E15" s="15" t="s">
        <v>128</v>
      </c>
      <c r="F15" s="13"/>
      <c r="G15" s="16" t="s">
        <v>51</v>
      </c>
    </row>
    <row r="16" spans="1:7" ht="45" customHeight="1">
      <c r="A16" s="10">
        <v>13</v>
      </c>
      <c r="B16" s="11" t="s">
        <v>129</v>
      </c>
      <c r="C16" s="12" t="s">
        <v>130</v>
      </c>
      <c r="D16" s="12" t="s">
        <v>131</v>
      </c>
      <c r="E16" s="12" t="s">
        <v>132</v>
      </c>
      <c r="F16" s="13"/>
      <c r="G16" s="14" t="s">
        <v>51</v>
      </c>
    </row>
    <row r="17" spans="1:7" ht="45" customHeight="1">
      <c r="A17" s="10">
        <v>14</v>
      </c>
      <c r="B17" s="11" t="s">
        <v>133</v>
      </c>
      <c r="C17" s="15" t="s">
        <v>134</v>
      </c>
      <c r="D17" s="15" t="s">
        <v>135</v>
      </c>
      <c r="E17" s="15" t="s">
        <v>136</v>
      </c>
      <c r="F17" s="13"/>
      <c r="G17" s="16" t="s">
        <v>51</v>
      </c>
    </row>
    <row r="18" spans="1:7" ht="45" customHeight="1">
      <c r="A18" s="10">
        <v>15</v>
      </c>
      <c r="B18" s="11" t="s">
        <v>137</v>
      </c>
      <c r="C18" s="12" t="s">
        <v>138</v>
      </c>
      <c r="D18" s="12" t="s">
        <v>139</v>
      </c>
      <c r="E18" s="12" t="s">
        <v>140</v>
      </c>
      <c r="F18" s="13"/>
      <c r="G18" s="14" t="s">
        <v>51</v>
      </c>
    </row>
    <row r="19" spans="1:7" ht="45" customHeight="1">
      <c r="A19" s="10">
        <v>16</v>
      </c>
      <c r="B19" s="11" t="s">
        <v>141</v>
      </c>
      <c r="C19" s="15" t="s">
        <v>142</v>
      </c>
      <c r="D19" s="15" t="s">
        <v>143</v>
      </c>
      <c r="E19" s="15" t="s">
        <v>144</v>
      </c>
      <c r="F19" s="13"/>
      <c r="G19" s="16" t="s">
        <v>51</v>
      </c>
    </row>
  </sheetData>
  <mergeCells count="1">
    <mergeCell ref="A1:G1"/>
  </mergeCells>
  <dataValidations count="1">
    <dataValidation type="list" allowBlank="1" sqref="F4:F19" xr:uid="{00000000-0002-0000-0200-000000000000}">
      <formula1>"✅ Complete,⚠️ In Progress,❌ Gap,N/A"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workbookViewId="0">
      <pane ySplit="3" topLeftCell="A4" activePane="bottomLeft" state="frozen"/>
      <selection pane="bottomLeft" sqref="A1:G1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38" customWidth="1"/>
    <col min="5" max="5" width="36" customWidth="1"/>
    <col min="6" max="6" width="14" customWidth="1"/>
    <col min="7" max="7" width="28" customWidth="1"/>
  </cols>
  <sheetData>
    <row r="1" spans="1:7" ht="38.1" customHeight="1">
      <c r="A1" s="32" t="s">
        <v>145</v>
      </c>
      <c r="B1" s="40"/>
      <c r="C1" s="40"/>
      <c r="D1" s="40"/>
      <c r="E1" s="40"/>
      <c r="F1" s="40"/>
      <c r="G1" s="40"/>
    </row>
    <row r="2" spans="1:7" ht="15" customHeight="1">
      <c r="B2">
        <v>7</v>
      </c>
      <c r="C2">
        <f>COUNTIF(F4:F10,"✅ Complete")</f>
        <v>0</v>
      </c>
      <c r="D2">
        <f>COUNTIF(F4:F10,"⚠️ In Progress")</f>
        <v>0</v>
      </c>
      <c r="E2">
        <f>COUNTIF(F4:F10,"❌ Gap")</f>
        <v>0</v>
      </c>
      <c r="F2">
        <f>COUNTIF(F4:F10,"N/A")</f>
        <v>0</v>
      </c>
    </row>
    <row r="3" spans="1:7" ht="30" customHeight="1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spans="1:7" ht="45" customHeight="1">
      <c r="A4" s="10">
        <v>1</v>
      </c>
      <c r="B4" s="11" t="s">
        <v>146</v>
      </c>
      <c r="C4" s="12" t="s">
        <v>147</v>
      </c>
      <c r="D4" s="12" t="s">
        <v>148</v>
      </c>
      <c r="E4" s="12" t="s">
        <v>149</v>
      </c>
      <c r="F4" s="13"/>
      <c r="G4" s="14" t="s">
        <v>51</v>
      </c>
    </row>
    <row r="5" spans="1:7" ht="45" customHeight="1">
      <c r="A5" s="10">
        <v>2</v>
      </c>
      <c r="B5" s="11" t="s">
        <v>150</v>
      </c>
      <c r="C5" s="15" t="s">
        <v>151</v>
      </c>
      <c r="D5" s="15" t="s">
        <v>152</v>
      </c>
      <c r="E5" s="15" t="s">
        <v>153</v>
      </c>
      <c r="F5" s="13"/>
      <c r="G5" s="16" t="s">
        <v>51</v>
      </c>
    </row>
    <row r="6" spans="1:7" ht="45" customHeight="1">
      <c r="A6" s="10">
        <v>3</v>
      </c>
      <c r="B6" s="11" t="s">
        <v>154</v>
      </c>
      <c r="C6" s="12" t="s">
        <v>155</v>
      </c>
      <c r="D6" s="12" t="s">
        <v>156</v>
      </c>
      <c r="E6" s="12" t="s">
        <v>157</v>
      </c>
      <c r="F6" s="13"/>
      <c r="G6" s="14" t="s">
        <v>51</v>
      </c>
    </row>
    <row r="7" spans="1:7" ht="45" customHeight="1">
      <c r="A7" s="10">
        <v>4</v>
      </c>
      <c r="B7" s="11" t="s">
        <v>158</v>
      </c>
      <c r="C7" s="15" t="s">
        <v>159</v>
      </c>
      <c r="D7" s="15" t="s">
        <v>160</v>
      </c>
      <c r="E7" s="15" t="s">
        <v>161</v>
      </c>
      <c r="F7" s="13"/>
      <c r="G7" s="16" t="s">
        <v>51</v>
      </c>
    </row>
    <row r="8" spans="1:7" ht="45" customHeight="1">
      <c r="A8" s="10">
        <v>5</v>
      </c>
      <c r="B8" s="11" t="s">
        <v>162</v>
      </c>
      <c r="C8" s="12" t="s">
        <v>163</v>
      </c>
      <c r="D8" s="12" t="s">
        <v>164</v>
      </c>
      <c r="E8" s="12" t="s">
        <v>165</v>
      </c>
      <c r="F8" s="13"/>
      <c r="G8" s="14" t="s">
        <v>51</v>
      </c>
    </row>
    <row r="9" spans="1:7" ht="45" customHeight="1">
      <c r="A9" s="10">
        <v>6</v>
      </c>
      <c r="B9" s="11" t="s">
        <v>166</v>
      </c>
      <c r="C9" s="15" t="s">
        <v>167</v>
      </c>
      <c r="D9" s="15" t="s">
        <v>168</v>
      </c>
      <c r="E9" s="15" t="s">
        <v>169</v>
      </c>
      <c r="F9" s="13"/>
      <c r="G9" s="16" t="s">
        <v>51</v>
      </c>
    </row>
    <row r="10" spans="1:7" ht="45" customHeight="1">
      <c r="A10" s="10">
        <v>7</v>
      </c>
      <c r="B10" s="11" t="s">
        <v>170</v>
      </c>
      <c r="C10" s="12" t="s">
        <v>171</v>
      </c>
      <c r="D10" s="12" t="s">
        <v>172</v>
      </c>
      <c r="E10" s="12" t="s">
        <v>173</v>
      </c>
      <c r="F10" s="13"/>
      <c r="G10" s="14" t="s">
        <v>51</v>
      </c>
    </row>
  </sheetData>
  <mergeCells count="1">
    <mergeCell ref="A1:G1"/>
  </mergeCells>
  <dataValidations count="1">
    <dataValidation type="list" allowBlank="1" sqref="F4:F10" xr:uid="{00000000-0002-0000-0300-000000000000}">
      <formula1>"✅ Complete,⚠️ In Progress,❌ Gap,N/A"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showGridLines="0" tabSelected="1" workbookViewId="0">
      <pane ySplit="3" topLeftCell="A15" activePane="bottomLeft" state="frozen"/>
      <selection pane="bottomLeft" activeCell="E22" sqref="E22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38" customWidth="1"/>
    <col min="5" max="5" width="36" customWidth="1"/>
    <col min="6" max="6" width="14" customWidth="1"/>
    <col min="7" max="7" width="28" customWidth="1"/>
  </cols>
  <sheetData>
    <row r="1" spans="1:7" ht="38.1" customHeight="1">
      <c r="A1" s="32" t="s">
        <v>174</v>
      </c>
      <c r="B1" s="40"/>
      <c r="C1" s="40"/>
      <c r="D1" s="40"/>
      <c r="E1" s="40"/>
      <c r="F1" s="40"/>
      <c r="G1" s="40"/>
    </row>
    <row r="2" spans="1:7" ht="15" customHeight="1">
      <c r="B2">
        <v>14</v>
      </c>
      <c r="C2">
        <f>COUNTIF(F4:F17,"✅ Complete")</f>
        <v>0</v>
      </c>
      <c r="D2">
        <f>COUNTIF(F4:F17,"⚠️ In Progress")</f>
        <v>0</v>
      </c>
      <c r="E2">
        <f>COUNTIF(F4:F17,"❌ Gap")</f>
        <v>0</v>
      </c>
      <c r="F2">
        <f>COUNTIF(F4:F17,"N/A")</f>
        <v>0</v>
      </c>
    </row>
    <row r="3" spans="1:7" ht="30" customHeight="1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spans="1:7" ht="45" customHeight="1">
      <c r="A4" s="10">
        <v>1</v>
      </c>
      <c r="B4" s="11" t="s">
        <v>175</v>
      </c>
      <c r="C4" s="12" t="s">
        <v>176</v>
      </c>
      <c r="D4" s="12" t="s">
        <v>177</v>
      </c>
      <c r="E4" s="12" t="s">
        <v>178</v>
      </c>
      <c r="F4" s="13"/>
      <c r="G4" s="14" t="s">
        <v>51</v>
      </c>
    </row>
    <row r="5" spans="1:7" ht="45" customHeight="1">
      <c r="A5" s="10">
        <v>2</v>
      </c>
      <c r="B5" s="11" t="s">
        <v>179</v>
      </c>
      <c r="C5" s="15" t="s">
        <v>180</v>
      </c>
      <c r="D5" s="15" t="s">
        <v>181</v>
      </c>
      <c r="E5" s="15" t="s">
        <v>182</v>
      </c>
      <c r="F5" s="13"/>
      <c r="G5" s="16" t="s">
        <v>51</v>
      </c>
    </row>
    <row r="6" spans="1:7" ht="45" customHeight="1">
      <c r="A6" s="10">
        <v>3</v>
      </c>
      <c r="B6" s="11" t="s">
        <v>183</v>
      </c>
      <c r="C6" s="12" t="s">
        <v>184</v>
      </c>
      <c r="D6" s="12" t="s">
        <v>185</v>
      </c>
      <c r="E6" s="12" t="s">
        <v>186</v>
      </c>
      <c r="F6" s="13"/>
      <c r="G6" s="14" t="s">
        <v>51</v>
      </c>
    </row>
    <row r="7" spans="1:7" ht="45" customHeight="1">
      <c r="A7" s="10">
        <v>4</v>
      </c>
      <c r="B7" s="11" t="s">
        <v>187</v>
      </c>
      <c r="C7" s="15" t="s">
        <v>188</v>
      </c>
      <c r="D7" s="15" t="s">
        <v>189</v>
      </c>
      <c r="E7" s="15" t="s">
        <v>190</v>
      </c>
      <c r="F7" s="13"/>
      <c r="G7" s="16" t="s">
        <v>51</v>
      </c>
    </row>
    <row r="8" spans="1:7" ht="45" customHeight="1">
      <c r="A8" s="10">
        <v>5</v>
      </c>
      <c r="B8" s="11" t="s">
        <v>191</v>
      </c>
      <c r="C8" s="12" t="s">
        <v>192</v>
      </c>
      <c r="D8" s="12" t="s">
        <v>193</v>
      </c>
      <c r="E8" s="12" t="s">
        <v>194</v>
      </c>
      <c r="F8" s="13"/>
      <c r="G8" s="14" t="s">
        <v>51</v>
      </c>
    </row>
    <row r="9" spans="1:7" ht="45" customHeight="1">
      <c r="A9" s="10">
        <v>6</v>
      </c>
      <c r="B9" s="11" t="s">
        <v>195</v>
      </c>
      <c r="C9" s="15" t="s">
        <v>196</v>
      </c>
      <c r="D9" s="15" t="s">
        <v>197</v>
      </c>
      <c r="E9" s="15" t="s">
        <v>198</v>
      </c>
      <c r="F9" s="13"/>
      <c r="G9" s="16" t="s">
        <v>51</v>
      </c>
    </row>
    <row r="10" spans="1:7" ht="45" customHeight="1">
      <c r="A10" s="10">
        <v>7</v>
      </c>
      <c r="B10" s="11" t="s">
        <v>199</v>
      </c>
      <c r="C10" s="12" t="s">
        <v>200</v>
      </c>
      <c r="D10" s="12" t="s">
        <v>201</v>
      </c>
      <c r="E10" s="12" t="s">
        <v>202</v>
      </c>
      <c r="F10" s="13"/>
      <c r="G10" s="14" t="s">
        <v>51</v>
      </c>
    </row>
    <row r="11" spans="1:7" ht="45" customHeight="1">
      <c r="A11" s="10">
        <v>8</v>
      </c>
      <c r="B11" s="11" t="s">
        <v>203</v>
      </c>
      <c r="C11" s="15" t="s">
        <v>204</v>
      </c>
      <c r="D11" s="15" t="s">
        <v>205</v>
      </c>
      <c r="E11" s="15" t="s">
        <v>206</v>
      </c>
      <c r="F11" s="13"/>
      <c r="G11" s="16" t="s">
        <v>51</v>
      </c>
    </row>
    <row r="12" spans="1:7" ht="45" customHeight="1">
      <c r="A12" s="10">
        <v>9</v>
      </c>
      <c r="B12" s="11" t="s">
        <v>207</v>
      </c>
      <c r="C12" s="12" t="s">
        <v>208</v>
      </c>
      <c r="D12" s="12" t="s">
        <v>209</v>
      </c>
      <c r="E12" s="12" t="s">
        <v>210</v>
      </c>
      <c r="F12" s="13"/>
      <c r="G12" s="14" t="s">
        <v>51</v>
      </c>
    </row>
    <row r="13" spans="1:7" ht="45" customHeight="1">
      <c r="A13" s="10">
        <v>10</v>
      </c>
      <c r="B13" s="11" t="s">
        <v>211</v>
      </c>
      <c r="C13" s="15" t="s">
        <v>212</v>
      </c>
      <c r="D13" s="15" t="s">
        <v>213</v>
      </c>
      <c r="E13" s="15" t="s">
        <v>214</v>
      </c>
      <c r="F13" s="13"/>
      <c r="G13" s="16" t="s">
        <v>51</v>
      </c>
    </row>
    <row r="14" spans="1:7" ht="45" customHeight="1">
      <c r="A14" s="10">
        <v>11</v>
      </c>
      <c r="B14" s="11" t="s">
        <v>215</v>
      </c>
      <c r="C14" s="12" t="s">
        <v>216</v>
      </c>
      <c r="D14" s="12" t="s">
        <v>217</v>
      </c>
      <c r="E14" s="12" t="s">
        <v>218</v>
      </c>
      <c r="F14" s="13"/>
      <c r="G14" s="14" t="s">
        <v>51</v>
      </c>
    </row>
    <row r="15" spans="1:7" ht="45" customHeight="1">
      <c r="A15" s="10">
        <v>12</v>
      </c>
      <c r="B15" s="11" t="s">
        <v>219</v>
      </c>
      <c r="C15" s="15" t="s">
        <v>220</v>
      </c>
      <c r="D15" s="15" t="s">
        <v>221</v>
      </c>
      <c r="E15" s="15" t="s">
        <v>222</v>
      </c>
      <c r="F15" s="13"/>
      <c r="G15" s="16" t="s">
        <v>51</v>
      </c>
    </row>
    <row r="16" spans="1:7" ht="45" customHeight="1">
      <c r="A16" s="10">
        <v>13</v>
      </c>
      <c r="B16" s="11" t="s">
        <v>223</v>
      </c>
      <c r="C16" s="12" t="s">
        <v>224</v>
      </c>
      <c r="D16" s="12" t="s">
        <v>225</v>
      </c>
      <c r="E16" s="12" t="s">
        <v>226</v>
      </c>
      <c r="F16" s="13"/>
      <c r="G16" s="14" t="s">
        <v>51</v>
      </c>
    </row>
    <row r="17" spans="1:7" ht="45" customHeight="1">
      <c r="A17" s="10">
        <v>14</v>
      </c>
      <c r="B17" s="11" t="s">
        <v>227</v>
      </c>
      <c r="C17" s="15" t="s">
        <v>228</v>
      </c>
      <c r="D17" s="15" t="s">
        <v>229</v>
      </c>
      <c r="E17" s="15" t="s">
        <v>230</v>
      </c>
      <c r="F17" s="13"/>
      <c r="G17" s="16" t="s">
        <v>51</v>
      </c>
    </row>
  </sheetData>
  <mergeCells count="1">
    <mergeCell ref="A1:G1"/>
  </mergeCells>
  <dataValidations count="1">
    <dataValidation type="list" allowBlank="1" sqref="F4:F17" xr:uid="{00000000-0002-0000-0400-000000000000}">
      <formula1>"✅ Complete,⚠️ In Progress,❌ Gap,N/A"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3"/>
  <sheetViews>
    <sheetView showGridLines="0" workbookViewId="0">
      <pane ySplit="3" topLeftCell="A15" activePane="bottomLeft" state="frozen"/>
      <selection pane="bottomLeft" activeCell="C15" sqref="C15"/>
    </sheetView>
  </sheetViews>
  <sheetFormatPr defaultRowHeight="15"/>
  <cols>
    <col min="1" max="1" width="4" customWidth="1"/>
    <col min="2" max="2" width="32" customWidth="1"/>
    <col min="3" max="3" width="52" customWidth="1"/>
    <col min="4" max="4" width="14" customWidth="1"/>
    <col min="5" max="5" width="16" customWidth="1"/>
  </cols>
  <sheetData>
    <row r="1" spans="1:5" ht="38.1" customHeight="1">
      <c r="A1" s="32" t="s">
        <v>231</v>
      </c>
      <c r="B1" s="40"/>
      <c r="C1" s="40"/>
      <c r="D1" s="40"/>
      <c r="E1" s="40"/>
    </row>
    <row r="2" spans="1:5" ht="21.95" customHeight="1">
      <c r="A2" s="38" t="s">
        <v>232</v>
      </c>
      <c r="B2" s="40"/>
      <c r="C2" s="40"/>
      <c r="D2" s="40"/>
      <c r="E2" s="40"/>
    </row>
    <row r="3" spans="1:5" ht="30" customHeight="1">
      <c r="A3" s="9" t="s">
        <v>40</v>
      </c>
      <c r="B3" s="9" t="s">
        <v>233</v>
      </c>
      <c r="C3" s="9" t="s">
        <v>234</v>
      </c>
      <c r="D3" s="9" t="s">
        <v>235</v>
      </c>
      <c r="E3" s="9" t="s">
        <v>236</v>
      </c>
    </row>
    <row r="4" spans="1:5" ht="60" customHeight="1">
      <c r="A4" s="10">
        <v>1</v>
      </c>
      <c r="B4" s="17" t="s">
        <v>237</v>
      </c>
      <c r="C4" s="18" t="s">
        <v>238</v>
      </c>
      <c r="D4" s="11" t="s">
        <v>239</v>
      </c>
      <c r="E4" s="19"/>
    </row>
    <row r="5" spans="1:5" ht="60" customHeight="1">
      <c r="A5" s="10">
        <v>2</v>
      </c>
      <c r="B5" s="20" t="s">
        <v>240</v>
      </c>
      <c r="C5" s="21" t="s">
        <v>241</v>
      </c>
      <c r="D5" s="11" t="s">
        <v>239</v>
      </c>
      <c r="E5" s="19"/>
    </row>
    <row r="6" spans="1:5" ht="60" customHeight="1">
      <c r="A6" s="10">
        <v>3</v>
      </c>
      <c r="B6" s="17" t="s">
        <v>242</v>
      </c>
      <c r="C6" s="18" t="s">
        <v>243</v>
      </c>
      <c r="D6" s="11" t="s">
        <v>239</v>
      </c>
      <c r="E6" s="19"/>
    </row>
    <row r="7" spans="1:5" ht="60" customHeight="1">
      <c r="A7" s="10">
        <v>4</v>
      </c>
      <c r="B7" s="20" t="s">
        <v>244</v>
      </c>
      <c r="C7" s="21" t="s">
        <v>245</v>
      </c>
      <c r="D7" s="11" t="s">
        <v>239</v>
      </c>
      <c r="E7" s="19"/>
    </row>
    <row r="8" spans="1:5" ht="60" customHeight="1">
      <c r="A8" s="10">
        <v>5</v>
      </c>
      <c r="B8" s="17" t="s">
        <v>246</v>
      </c>
      <c r="C8" s="18" t="s">
        <v>247</v>
      </c>
      <c r="D8" s="11" t="s">
        <v>239</v>
      </c>
      <c r="E8" s="19"/>
    </row>
    <row r="9" spans="1:5" ht="60" customHeight="1">
      <c r="A9" s="10">
        <v>6</v>
      </c>
      <c r="B9" s="20" t="s">
        <v>248</v>
      </c>
      <c r="C9" s="21" t="s">
        <v>249</v>
      </c>
      <c r="D9" s="11" t="s">
        <v>239</v>
      </c>
      <c r="E9" s="19"/>
    </row>
    <row r="10" spans="1:5" ht="60" customHeight="1">
      <c r="A10" s="10">
        <v>7</v>
      </c>
      <c r="B10" s="17" t="s">
        <v>250</v>
      </c>
      <c r="C10" s="18" t="s">
        <v>251</v>
      </c>
      <c r="D10" s="11" t="s">
        <v>239</v>
      </c>
      <c r="E10" s="19"/>
    </row>
    <row r="11" spans="1:5" ht="60" customHeight="1">
      <c r="A11" s="10">
        <v>8</v>
      </c>
      <c r="B11" s="20" t="s">
        <v>252</v>
      </c>
      <c r="C11" s="21" t="s">
        <v>253</v>
      </c>
      <c r="D11" s="11" t="s">
        <v>239</v>
      </c>
      <c r="E11" s="19"/>
    </row>
    <row r="12" spans="1:5" ht="60" customHeight="1">
      <c r="A12" s="10">
        <v>9</v>
      </c>
      <c r="B12" s="17" t="s">
        <v>254</v>
      </c>
      <c r="C12" s="18" t="s">
        <v>255</v>
      </c>
      <c r="D12" s="11" t="s">
        <v>239</v>
      </c>
      <c r="E12" s="19"/>
    </row>
    <row r="13" spans="1:5" ht="60" customHeight="1">
      <c r="A13" s="10">
        <v>10</v>
      </c>
      <c r="B13" s="20" t="s">
        <v>256</v>
      </c>
      <c r="C13" s="21" t="s">
        <v>257</v>
      </c>
      <c r="D13" s="11" t="s">
        <v>239</v>
      </c>
      <c r="E13" s="19"/>
    </row>
    <row r="14" spans="1:5" ht="60" customHeight="1">
      <c r="A14" s="10">
        <v>11</v>
      </c>
      <c r="B14" s="17" t="s">
        <v>258</v>
      </c>
      <c r="C14" s="18" t="s">
        <v>259</v>
      </c>
      <c r="D14" s="11" t="s">
        <v>239</v>
      </c>
      <c r="E14" s="19"/>
    </row>
    <row r="15" spans="1:5" ht="60" customHeight="1">
      <c r="A15" s="10">
        <v>12</v>
      </c>
      <c r="B15" s="20" t="s">
        <v>260</v>
      </c>
      <c r="C15" s="21" t="s">
        <v>261</v>
      </c>
      <c r="D15" s="11" t="s">
        <v>239</v>
      </c>
      <c r="E15" s="19"/>
    </row>
    <row r="16" spans="1:5" ht="60" customHeight="1">
      <c r="A16" s="10">
        <v>13</v>
      </c>
      <c r="B16" s="17" t="s">
        <v>262</v>
      </c>
      <c r="C16" s="18" t="s">
        <v>263</v>
      </c>
      <c r="D16" s="11" t="s">
        <v>264</v>
      </c>
      <c r="E16" s="19"/>
    </row>
    <row r="17" spans="1:5" ht="60" customHeight="1">
      <c r="A17" s="10">
        <v>14</v>
      </c>
      <c r="B17" s="20" t="s">
        <v>265</v>
      </c>
      <c r="C17" s="21" t="s">
        <v>266</v>
      </c>
      <c r="D17" s="11" t="s">
        <v>267</v>
      </c>
      <c r="E17" s="19"/>
    </row>
    <row r="18" spans="1:5" ht="60" customHeight="1">
      <c r="A18" s="10">
        <v>15</v>
      </c>
      <c r="B18" s="17" t="s">
        <v>268</v>
      </c>
      <c r="C18" s="18" t="s">
        <v>269</v>
      </c>
      <c r="D18" s="11" t="s">
        <v>270</v>
      </c>
      <c r="E18" s="19"/>
    </row>
    <row r="19" spans="1:5" ht="60" customHeight="1">
      <c r="A19" s="10">
        <v>16</v>
      </c>
      <c r="B19" s="20" t="s">
        <v>271</v>
      </c>
      <c r="C19" s="21" t="s">
        <v>272</v>
      </c>
      <c r="D19" s="11" t="s">
        <v>239</v>
      </c>
      <c r="E19" s="19"/>
    </row>
    <row r="20" spans="1:5" ht="60" customHeight="1">
      <c r="A20" s="10">
        <v>17</v>
      </c>
      <c r="B20" s="17" t="s">
        <v>273</v>
      </c>
      <c r="C20" s="18" t="s">
        <v>274</v>
      </c>
      <c r="D20" s="11" t="s">
        <v>239</v>
      </c>
      <c r="E20" s="19"/>
    </row>
    <row r="21" spans="1:5" ht="60" customHeight="1">
      <c r="A21" s="10">
        <v>18</v>
      </c>
      <c r="B21" s="20" t="s">
        <v>275</v>
      </c>
      <c r="C21" s="21" t="s">
        <v>276</v>
      </c>
      <c r="D21" s="11" t="s">
        <v>239</v>
      </c>
      <c r="E21" s="19"/>
    </row>
    <row r="22" spans="1:5" ht="60" customHeight="1">
      <c r="A22" s="10">
        <v>19</v>
      </c>
      <c r="B22" s="17" t="s">
        <v>277</v>
      </c>
      <c r="C22" s="18" t="s">
        <v>278</v>
      </c>
      <c r="D22" s="11" t="s">
        <v>279</v>
      </c>
      <c r="E22" s="19"/>
    </row>
    <row r="23" spans="1:5" ht="60" customHeight="1">
      <c r="A23" s="10">
        <v>20</v>
      </c>
      <c r="B23" s="20" t="s">
        <v>280</v>
      </c>
      <c r="C23" s="21" t="s">
        <v>281</v>
      </c>
      <c r="D23" s="11" t="s">
        <v>239</v>
      </c>
      <c r="E23" s="19"/>
    </row>
  </sheetData>
  <mergeCells count="2">
    <mergeCell ref="A2:E2"/>
    <mergeCell ref="A1:E1"/>
  </mergeCells>
  <pageMargins left="0.25" right="0.25" top="0.75" bottom="0.75" header="0.3" footer="0.3"/>
  <pageSetup scale="8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" customWidth="1"/>
    <col min="2" max="2" width="12" customWidth="1"/>
    <col min="3" max="3" width="40" customWidth="1"/>
    <col min="4" max="4" width="42" customWidth="1"/>
    <col min="5" max="5" width="10" customWidth="1"/>
    <col min="6" max="6" width="16" customWidth="1"/>
  </cols>
  <sheetData>
    <row r="1" spans="1:6" ht="38.1" customHeight="1">
      <c r="A1" s="32" t="s">
        <v>282</v>
      </c>
      <c r="B1" s="40"/>
      <c r="C1" s="40"/>
      <c r="D1" s="40"/>
      <c r="E1" s="40"/>
      <c r="F1" s="40"/>
    </row>
    <row r="2" spans="1:6" ht="21.95" customHeight="1">
      <c r="A2" s="39" t="s">
        <v>283</v>
      </c>
      <c r="B2" s="40"/>
      <c r="C2" s="40"/>
      <c r="D2" s="40"/>
      <c r="E2" s="40"/>
      <c r="F2" s="40"/>
    </row>
    <row r="3" spans="1:6" ht="26.1" customHeight="1">
      <c r="A3" s="22" t="s">
        <v>40</v>
      </c>
      <c r="B3" s="22" t="s">
        <v>284</v>
      </c>
      <c r="C3" s="22" t="s">
        <v>285</v>
      </c>
      <c r="D3" s="22" t="s">
        <v>286</v>
      </c>
      <c r="E3" s="22" t="s">
        <v>287</v>
      </c>
      <c r="F3" s="22" t="s">
        <v>288</v>
      </c>
    </row>
    <row r="4" spans="1:6" ht="39.950000000000003" customHeight="1">
      <c r="A4" s="23">
        <v>1</v>
      </c>
      <c r="B4" s="24" t="s">
        <v>289</v>
      </c>
      <c r="C4" s="17" t="s">
        <v>290</v>
      </c>
      <c r="D4" s="12" t="s">
        <v>291</v>
      </c>
      <c r="E4" s="13"/>
      <c r="F4" s="25" t="s">
        <v>292</v>
      </c>
    </row>
    <row r="5" spans="1:6" ht="39.950000000000003" customHeight="1">
      <c r="A5" s="23">
        <v>2</v>
      </c>
      <c r="B5" s="24" t="s">
        <v>289</v>
      </c>
      <c r="C5" s="20" t="s">
        <v>293</v>
      </c>
      <c r="D5" s="15" t="s">
        <v>294</v>
      </c>
      <c r="E5" s="13"/>
      <c r="F5" s="26" t="s">
        <v>292</v>
      </c>
    </row>
    <row r="6" spans="1:6" ht="39.950000000000003" customHeight="1">
      <c r="A6" s="23">
        <v>3</v>
      </c>
      <c r="B6" s="24" t="s">
        <v>289</v>
      </c>
      <c r="C6" s="17" t="s">
        <v>295</v>
      </c>
      <c r="D6" s="12" t="s">
        <v>296</v>
      </c>
      <c r="E6" s="13"/>
      <c r="F6" s="25" t="s">
        <v>292</v>
      </c>
    </row>
    <row r="7" spans="1:6" ht="39.950000000000003" customHeight="1">
      <c r="A7" s="23">
        <v>4</v>
      </c>
      <c r="B7" s="24" t="s">
        <v>289</v>
      </c>
      <c r="C7" s="20" t="s">
        <v>297</v>
      </c>
      <c r="D7" s="15" t="s">
        <v>298</v>
      </c>
      <c r="E7" s="13"/>
      <c r="F7" s="26" t="s">
        <v>292</v>
      </c>
    </row>
    <row r="8" spans="1:6" ht="39.950000000000003" customHeight="1">
      <c r="A8" s="23">
        <v>5</v>
      </c>
      <c r="B8" s="27" t="s">
        <v>299</v>
      </c>
      <c r="C8" s="17" t="s">
        <v>300</v>
      </c>
      <c r="D8" s="12" t="s">
        <v>301</v>
      </c>
      <c r="E8" s="13"/>
      <c r="F8" s="25" t="s">
        <v>292</v>
      </c>
    </row>
    <row r="9" spans="1:6" ht="39.950000000000003" customHeight="1">
      <c r="A9" s="23">
        <v>6</v>
      </c>
      <c r="B9" s="27" t="s">
        <v>299</v>
      </c>
      <c r="C9" s="20" t="s">
        <v>302</v>
      </c>
      <c r="D9" s="15" t="s">
        <v>303</v>
      </c>
      <c r="E9" s="13"/>
      <c r="F9" s="26" t="s">
        <v>292</v>
      </c>
    </row>
    <row r="10" spans="1:6" ht="39.950000000000003" customHeight="1">
      <c r="A10" s="23">
        <v>7</v>
      </c>
      <c r="B10" s="27" t="s">
        <v>299</v>
      </c>
      <c r="C10" s="17" t="s">
        <v>304</v>
      </c>
      <c r="D10" s="12" t="s">
        <v>305</v>
      </c>
      <c r="E10" s="13"/>
      <c r="F10" s="25" t="s">
        <v>292</v>
      </c>
    </row>
    <row r="11" spans="1:6" ht="39.950000000000003" customHeight="1">
      <c r="A11" s="23">
        <v>8</v>
      </c>
      <c r="B11" s="27" t="s">
        <v>299</v>
      </c>
      <c r="C11" s="20" t="s">
        <v>306</v>
      </c>
      <c r="D11" s="15" t="s">
        <v>307</v>
      </c>
      <c r="E11" s="13"/>
      <c r="F11" s="26" t="s">
        <v>292</v>
      </c>
    </row>
    <row r="12" spans="1:6" ht="39.950000000000003" customHeight="1">
      <c r="A12" s="23">
        <v>9</v>
      </c>
      <c r="B12" s="27" t="s">
        <v>299</v>
      </c>
      <c r="C12" s="17" t="s">
        <v>308</v>
      </c>
      <c r="D12" s="12" t="s">
        <v>309</v>
      </c>
      <c r="E12" s="13"/>
      <c r="F12" s="25" t="s">
        <v>292</v>
      </c>
    </row>
    <row r="13" spans="1:6" ht="39.950000000000003" customHeight="1">
      <c r="A13" s="23">
        <v>10</v>
      </c>
      <c r="B13" s="27" t="s">
        <v>299</v>
      </c>
      <c r="C13" s="20" t="s">
        <v>310</v>
      </c>
      <c r="D13" s="15" t="s">
        <v>311</v>
      </c>
      <c r="E13" s="13"/>
      <c r="F13" s="26" t="s">
        <v>292</v>
      </c>
    </row>
    <row r="14" spans="1:6" ht="39.950000000000003" customHeight="1">
      <c r="A14" s="23">
        <v>11</v>
      </c>
      <c r="B14" s="27" t="s">
        <v>299</v>
      </c>
      <c r="C14" s="17" t="s">
        <v>312</v>
      </c>
      <c r="D14" s="12" t="s">
        <v>313</v>
      </c>
      <c r="E14" s="13"/>
      <c r="F14" s="25" t="s">
        <v>292</v>
      </c>
    </row>
    <row r="15" spans="1:6" ht="39.950000000000003" customHeight="1">
      <c r="A15" s="23">
        <v>12</v>
      </c>
      <c r="B15" s="27" t="s">
        <v>299</v>
      </c>
      <c r="C15" s="20" t="s">
        <v>314</v>
      </c>
      <c r="D15" s="15" t="s">
        <v>315</v>
      </c>
      <c r="E15" s="13"/>
      <c r="F15" s="26" t="s">
        <v>292</v>
      </c>
    </row>
    <row r="16" spans="1:6" ht="39.950000000000003" customHeight="1">
      <c r="A16" s="23">
        <v>13</v>
      </c>
      <c r="B16" s="27" t="s">
        <v>299</v>
      </c>
      <c r="C16" s="17" t="s">
        <v>316</v>
      </c>
      <c r="D16" s="12" t="s">
        <v>317</v>
      </c>
      <c r="E16" s="13"/>
      <c r="F16" s="25" t="s">
        <v>292</v>
      </c>
    </row>
    <row r="17" spans="1:6" ht="39.950000000000003" customHeight="1">
      <c r="A17" s="23">
        <v>14</v>
      </c>
      <c r="B17" s="28" t="s">
        <v>318</v>
      </c>
      <c r="C17" s="20" t="s">
        <v>319</v>
      </c>
      <c r="D17" s="15" t="s">
        <v>320</v>
      </c>
      <c r="E17" s="13"/>
      <c r="F17" s="26" t="s">
        <v>292</v>
      </c>
    </row>
    <row r="18" spans="1:6" ht="39.950000000000003" customHeight="1">
      <c r="A18" s="23">
        <v>15</v>
      </c>
      <c r="B18" s="28" t="s">
        <v>318</v>
      </c>
      <c r="C18" s="17" t="s">
        <v>321</v>
      </c>
      <c r="D18" s="12" t="s">
        <v>322</v>
      </c>
      <c r="E18" s="13"/>
      <c r="F18" s="25" t="s">
        <v>292</v>
      </c>
    </row>
    <row r="19" spans="1:6" ht="39.950000000000003" customHeight="1">
      <c r="A19" s="23">
        <v>16</v>
      </c>
      <c r="B19" s="28" t="s">
        <v>318</v>
      </c>
      <c r="C19" s="20" t="s">
        <v>323</v>
      </c>
      <c r="D19" s="15" t="s">
        <v>324</v>
      </c>
      <c r="E19" s="13"/>
      <c r="F19" s="26" t="s">
        <v>292</v>
      </c>
    </row>
    <row r="20" spans="1:6" ht="39.950000000000003" customHeight="1">
      <c r="A20" s="23">
        <v>17</v>
      </c>
      <c r="B20" s="28" t="s">
        <v>318</v>
      </c>
      <c r="C20" s="17" t="s">
        <v>325</v>
      </c>
      <c r="D20" s="12" t="s">
        <v>326</v>
      </c>
      <c r="E20" s="13"/>
      <c r="F20" s="25" t="s">
        <v>292</v>
      </c>
    </row>
    <row r="21" spans="1:6" ht="39.950000000000003" customHeight="1">
      <c r="A21" s="23">
        <v>18</v>
      </c>
      <c r="B21" s="28" t="s">
        <v>318</v>
      </c>
      <c r="C21" s="20" t="s">
        <v>327</v>
      </c>
      <c r="D21" s="15" t="s">
        <v>328</v>
      </c>
      <c r="E21" s="13"/>
      <c r="F21" s="26" t="s">
        <v>292</v>
      </c>
    </row>
    <row r="22" spans="1:6" ht="39.950000000000003" customHeight="1">
      <c r="A22" s="23">
        <v>19</v>
      </c>
      <c r="B22" s="28" t="s">
        <v>318</v>
      </c>
      <c r="C22" s="17" t="s">
        <v>329</v>
      </c>
      <c r="D22" s="12" t="s">
        <v>330</v>
      </c>
      <c r="E22" s="13"/>
      <c r="F22" s="25" t="s">
        <v>292</v>
      </c>
    </row>
    <row r="23" spans="1:6" ht="39.950000000000003" customHeight="1">
      <c r="A23" s="23">
        <v>20</v>
      </c>
      <c r="B23" s="29" t="s">
        <v>331</v>
      </c>
      <c r="C23" s="20" t="s">
        <v>332</v>
      </c>
      <c r="D23" s="15" t="s">
        <v>333</v>
      </c>
      <c r="E23" s="13"/>
      <c r="F23" s="26" t="s">
        <v>292</v>
      </c>
    </row>
    <row r="24" spans="1:6" ht="39.950000000000003" customHeight="1">
      <c r="A24" s="23">
        <v>21</v>
      </c>
      <c r="B24" s="29" t="s">
        <v>331</v>
      </c>
      <c r="C24" s="17" t="s">
        <v>334</v>
      </c>
      <c r="D24" s="12" t="s">
        <v>335</v>
      </c>
      <c r="E24" s="13"/>
      <c r="F24" s="25" t="s">
        <v>292</v>
      </c>
    </row>
    <row r="25" spans="1:6" ht="39.950000000000003" customHeight="1">
      <c r="A25" s="23">
        <v>22</v>
      </c>
      <c r="B25" s="30" t="s">
        <v>336</v>
      </c>
      <c r="C25" s="20" t="s">
        <v>337</v>
      </c>
      <c r="D25" s="15" t="s">
        <v>338</v>
      </c>
      <c r="E25" s="13"/>
      <c r="F25" s="26" t="s">
        <v>292</v>
      </c>
    </row>
    <row r="26" spans="1:6" ht="39.950000000000003" customHeight="1">
      <c r="A26" s="23">
        <v>23</v>
      </c>
      <c r="B26" s="30" t="s">
        <v>336</v>
      </c>
      <c r="C26" s="17" t="s">
        <v>339</v>
      </c>
      <c r="D26" s="12" t="s">
        <v>340</v>
      </c>
      <c r="E26" s="13"/>
      <c r="F26" s="25" t="s">
        <v>292</v>
      </c>
    </row>
    <row r="27" spans="1:6" ht="39.950000000000003" customHeight="1">
      <c r="A27" s="23">
        <v>24</v>
      </c>
      <c r="B27" s="31" t="s">
        <v>341</v>
      </c>
      <c r="C27" s="20" t="s">
        <v>342</v>
      </c>
      <c r="D27" s="15" t="s">
        <v>343</v>
      </c>
      <c r="E27" s="13"/>
      <c r="F27" s="26" t="s">
        <v>292</v>
      </c>
    </row>
    <row r="28" spans="1:6" ht="39.950000000000003" customHeight="1">
      <c r="A28" s="23">
        <v>25</v>
      </c>
      <c r="B28" s="31" t="s">
        <v>341</v>
      </c>
      <c r="C28" s="17" t="s">
        <v>344</v>
      </c>
      <c r="D28" s="12" t="s">
        <v>345</v>
      </c>
      <c r="E28" s="13"/>
      <c r="F28" s="25" t="s">
        <v>292</v>
      </c>
    </row>
    <row r="29" spans="1:6" ht="39.950000000000003" customHeight="1">
      <c r="A29" s="23">
        <v>26</v>
      </c>
      <c r="B29" s="31" t="s">
        <v>341</v>
      </c>
      <c r="C29" s="20" t="s">
        <v>346</v>
      </c>
      <c r="D29" s="15" t="s">
        <v>347</v>
      </c>
      <c r="E29" s="13"/>
      <c r="F29" s="26" t="s">
        <v>292</v>
      </c>
    </row>
  </sheetData>
  <mergeCells count="2">
    <mergeCell ref="A2:F2"/>
    <mergeCell ref="A1:F1"/>
  </mergeCells>
  <dataValidations count="1">
    <dataValidation type="list" allowBlank="1" sqref="E4:E29" xr:uid="{00000000-0002-0000-0600-000000000000}">
      <formula1>"✅ Done,⏳ Pending,N/A"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2026-03-12T18:51:37Z</dcterms:created>
  <dcterms:modified xsi:type="dcterms:W3CDTF">2026-03-31T19:49:11Z</dcterms:modified>
  <cp:category/>
  <cp:contentStatus/>
</cp:coreProperties>
</file>